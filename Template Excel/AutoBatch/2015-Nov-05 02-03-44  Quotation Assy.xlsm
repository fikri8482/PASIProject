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52511"/>
</workbook>
</file>

<file path=xl/calcChain.xml><?xml version="1.0" encoding="utf-8"?>
<calcChain xmlns="http://schemas.openxmlformats.org/spreadsheetml/2006/main">
  <c r="T38" i="1" l="1"/>
  <c r="T39" i="1"/>
  <c r="Q46" i="1" s="1"/>
  <c r="R63" i="1" s="1"/>
  <c r="T40" i="1"/>
  <c r="T41" i="1"/>
  <c r="T42" i="1"/>
  <c r="T43" i="1"/>
  <c r="T44" i="1"/>
  <c r="T45" i="1"/>
  <c r="T29" i="1"/>
  <c r="T30" i="1"/>
  <c r="T31" i="1"/>
  <c r="T32" i="1"/>
  <c r="T33" i="1"/>
  <c r="T34" i="1"/>
  <c r="T35" i="1"/>
  <c r="T36" i="1"/>
  <c r="Q27" i="1"/>
  <c r="T52" i="1"/>
  <c r="T53" i="1"/>
  <c r="T54" i="1"/>
  <c r="T55" i="1"/>
  <c r="T56" i="1"/>
  <c r="T57" i="1"/>
  <c r="T58" i="1"/>
  <c r="T59" i="1"/>
  <c r="S78" i="1"/>
  <c r="Q79" i="1" s="1"/>
  <c r="Q92" i="1"/>
  <c r="P38" i="1"/>
  <c r="P39" i="1"/>
  <c r="M46" i="1" s="1"/>
  <c r="N63" i="1" s="1"/>
  <c r="P40" i="1"/>
  <c r="P41" i="1"/>
  <c r="P42" i="1"/>
  <c r="P43" i="1"/>
  <c r="P44" i="1"/>
  <c r="P45" i="1"/>
  <c r="P29" i="1"/>
  <c r="P30" i="1"/>
  <c r="P31" i="1"/>
  <c r="P32" i="1"/>
  <c r="P33" i="1"/>
  <c r="P34" i="1"/>
  <c r="P35" i="1"/>
  <c r="P36" i="1"/>
  <c r="M27" i="1"/>
  <c r="P52" i="1"/>
  <c r="P53" i="1"/>
  <c r="M60" i="1" s="1"/>
  <c r="O63" i="1" s="1"/>
  <c r="P54" i="1"/>
  <c r="P55" i="1"/>
  <c r="P56" i="1"/>
  <c r="P57" i="1"/>
  <c r="P58" i="1"/>
  <c r="P59" i="1"/>
  <c r="O78" i="1"/>
  <c r="M79" i="1" s="1"/>
  <c r="M92" i="1"/>
  <c r="L40" i="1"/>
  <c r="L41" i="1"/>
  <c r="L42" i="1"/>
  <c r="L43" i="1"/>
  <c r="L44" i="1"/>
  <c r="L45" i="1"/>
  <c r="L30" i="1"/>
  <c r="L31" i="1"/>
  <c r="L32" i="1"/>
  <c r="L33" i="1"/>
  <c r="L34" i="1"/>
  <c r="L35" i="1"/>
  <c r="L36" i="1"/>
  <c r="I27" i="1"/>
  <c r="L55" i="1"/>
  <c r="L56" i="1"/>
  <c r="L57" i="1"/>
  <c r="L58" i="1"/>
  <c r="L59" i="1"/>
  <c r="I92" i="1"/>
  <c r="H104" i="1"/>
  <c r="Q102" i="1"/>
  <c r="H102" i="1"/>
  <c r="H101" i="1"/>
  <c r="H100" i="1"/>
  <c r="H99" i="1"/>
  <c r="H98" i="1"/>
  <c r="H97" i="1"/>
  <c r="H96" i="1"/>
  <c r="H95" i="1"/>
  <c r="H94" i="1"/>
  <c r="H93" i="1"/>
  <c r="R92" i="1"/>
  <c r="H92" i="1"/>
  <c r="H79" i="1"/>
  <c r="Q78" i="1"/>
  <c r="M78" i="1"/>
  <c r="K78" i="1"/>
  <c r="I79" i="1" s="1"/>
  <c r="S65" i="1"/>
  <c r="O65" i="1"/>
  <c r="K65" i="1"/>
  <c r="H64" i="1"/>
  <c r="H60" i="1"/>
  <c r="H49" i="1"/>
  <c r="H48" i="1"/>
  <c r="H47" i="1"/>
  <c r="H46" i="1"/>
  <c r="H37" i="1"/>
  <c r="S3" i="1"/>
  <c r="I60" i="1" l="1"/>
  <c r="I37" i="1"/>
  <c r="M37" i="1"/>
  <c r="Q37" i="1"/>
  <c r="Q49" i="1" s="1"/>
  <c r="Q60" i="1"/>
  <c r="S63" i="1" s="1"/>
  <c r="I46" i="1"/>
  <c r="M49" i="1"/>
  <c r="M63" i="1" s="1"/>
  <c r="M64" i="1" s="1"/>
  <c r="M96" i="1" s="1"/>
  <c r="M101" i="1" s="1"/>
  <c r="M104" i="1" s="1"/>
  <c r="I49" i="1"/>
  <c r="Q63" i="1"/>
  <c r="Q64" i="1" l="1"/>
  <c r="Q96" i="1" s="1"/>
  <c r="Q101" i="1" s="1"/>
  <c r="Q104" i="1" s="1"/>
  <c r="I64" i="1"/>
  <c r="I96" i="1" s="1"/>
  <c r="I101" i="1" s="1"/>
  <c r="I104" i="1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 shapeId="0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<sst xmlns="http://schemas.openxmlformats.org/spreadsheetml/2006/main" count="714" uniqueCount="485">
  <si>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</si>
  <si>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</si>
  <si>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</si>
  <si>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</si>
  <si>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</si>
  <si>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</si>
  <si>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</si>
  <si>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</si>
  <si>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</si>
  <si>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</si>
  <si>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</si>
  <si>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</si>
  <si>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</si>
  <si>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</si>
  <si>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</si>
  <si>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</si>
  <si>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</si>
  <si>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</si>
  <si>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</si>
  <si>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</si>
  <si>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</si>
  <si>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</si>
  <si>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</si>
  <si>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</si>
  <si>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</si>
  <si>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</si>
  <si>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</si>
  <si>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</si>
  <si>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</si>
  <si>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</si>
  <si>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</si>
  <si>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</si>
  <si>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</si>
  <si>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</si>
  <si>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</si>
  <si>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</si>
  <si>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</si>
  <si>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</si>
  <si>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</si>
  <si>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</si>
  <si>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</si>
  <si>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</si>
  <si>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</si>
  <si>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</si>
  <si>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</si>
  <si>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</si>
  <si>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</si>
  <si>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</si>
  <si>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</si>
  <si>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</si>
  <si>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</si>
  <si>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</si>
  <si>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</si>
  <si>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</si>
  <si>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</si>
  <si>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</si>
  <si>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</si>
  <si>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</si>
  <si>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</si>
  <si>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</si>
  <si>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</si>
  <si>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</si>
  <si>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</si>
  <si>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</si>
  <si>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</si>
  <si>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</si>
  <si>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</si>
  <si>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</si>
  <si>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</si>
  <si>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</si>
  <si>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</si>
  <si>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</si>
  <si>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</si>
  <si>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</si>
  <si>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</si>
  <si>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</si>
  <si>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</si>
  <si>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</si>
  <si>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</si>
  <si>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</si>
  <si>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</si>
  <si>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</si>
  <si>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</si>
  <si>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</si>
  <si>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</si>
  <si>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</si>
  <si>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</si>
  <si>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</si>
  <si>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</si>
  <si>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</si>
  <si>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</si>
  <si>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</si>
  <si>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</si>
  <si>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</si>
  <si>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</si>
  <si>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</si>
  <si>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</si>
  <si>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</si>
  <si>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</si>
  <si>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</si>
  <si>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</si>
  <si>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</si>
  <si>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</si>
  <si>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</si>
  <si>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</si>
  <si>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</si>
  <si>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</si>
  <si>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</si>
  <si>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</si>
  <si>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</si>
  <si>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</si>
  <si>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</si>
  <si>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</si>
  <si>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</si>
  <si>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</si>
  <si>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</si>
  <si>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</si>
  <si>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</si>
  <si>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</si>
  <si>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</si>
  <si>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</si>
  <si>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</si>
  <si>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</si>
  <si>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</si>
  <si>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</si>
  <si>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</si>
  <si>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</si>
  <si>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</si>
  <si>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</si>
  <si>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</si>
  <si>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</si>
  <si>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</si>
  <si>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</si>
  <si>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</si>
  <si>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</si>
  <si>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</si>
  <si>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</si>
  <si>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</si>
  <si>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</si>
  <si>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</si>
  <si>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</si>
  <si>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</si>
  <si>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</si>
  <si>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</si>
  <si>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</si>
  <si>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</si>
  <si>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</si>
  <si>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</si>
  <si>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</si>
  <si>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</si>
  <si>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</si>
  <si>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</si>
  <si>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</si>
  <si>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</si>
  <si>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</si>
  <si>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</si>
  <si>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</si>
  <si>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</si>
  <si>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</si>
  <si>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</si>
  <si>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</si>
  <si>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</si>
  <si>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</si>
  <si>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</si>
  <si>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</si>
  <si>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</si>
  <si>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</si>
  <si>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</si>
  <si>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</si>
  <si>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</si>
  <si>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</si>
  <si>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</si>
  <si>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</si>
  <si>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</si>
  <si>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</si>
  <si>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</si>
  <si>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</si>
  <si>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</si>
  <si>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</si>
  <si>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</si>
  <si>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</si>
  <si>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</si>
  <si>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</si>
  <si>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</si>
  <si>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</si>
  <si>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</si>
  <si>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</si>
  <si>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</si>
  <si>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</si>
  <si>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</si>
  <si>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</si>
  <si>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</si>
  <si>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</si>
  <si>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</si>
  <si>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</si>
  <si>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</si>
  <si>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</si>
  <si>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</si>
  <si>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</si>
  <si>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</si>
  <si>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</si>
  <si>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</si>
  <si>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</si>
  <si>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</si>
  <si>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</si>
  <si>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</si>
  <si>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</si>
  <si>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</si>
  <si>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</si>
  <si>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</si>
  <si>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</si>
  <si>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</si>
  <si>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</si>
  <si>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</si>
  <si>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</si>
  <si>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</si>
  <si>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</si>
  <si>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</si>
  <si>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</si>
  <si>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</si>
  <si>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</si>
  <si>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</si>
  <si>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</si>
  <si>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</si>
  <si>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</si>
  <si>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</si>
  <si>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</si>
  <si>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</si>
  <si>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</si>
  <si>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</si>
  <si>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</si>
  <si>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</si>
  <si>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</si>
  <si>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</si>
  <si>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</si>
  <si>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</si>
  <si>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</si>
  <si>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</si>
  <si>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</si>
  <si>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</si>
  <si>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</si>
  <si>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</si>
  <si>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</si>
  <si>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</si>
  <si>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</si>
  <si>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</si>
  <si>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</si>
  <si>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</si>
  <si>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</si>
  <si>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</si>
  <si>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</si>
  <si>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</si>
  <si>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</si>
  <si>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</si>
  <si>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</si>
  <si>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</si>
  <si>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</si>
  <si>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</si>
  <si>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</si>
  <si>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</si>
  <si>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</si>
  <si>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</si>
  <si>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</si>
  <si>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</si>
  <si>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</si>
  <si>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</si>
  <si>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</si>
  <si>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</si>
  <si>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</si>
  <si>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</si>
  <si>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</si>
  <si>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</si>
  <si>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</si>
  <si>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</si>
  <si>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</si>
  <si>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Packing</t>
    <phoneticPr fontId="0"/>
  </si>
  <si>
    <t>Carton size  L*W*H  （mm)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</si>
  <si>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</si>
  <si>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</si>
  <si>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</si>
  <si>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</si>
  <si>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</si>
  <si>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</si>
  <si>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</si>
  <si>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</si>
  <si>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</si>
  <si>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</si>
  <si>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</si>
  <si>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</si>
  <si>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</si>
  <si>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</si>
  <si>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</si>
  <si>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</si>
  <si>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</si>
  <si>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</si>
  <si>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</si>
  <si>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</si>
  <si>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</si>
  <si>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</si>
  <si>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</si>
  <si>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</si>
  <si>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</si>
  <si>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</si>
  <si>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</si>
  <si>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</si>
  <si>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</si>
  <si>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</si>
  <si>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</si>
  <si>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</si>
  <si>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</si>
  <si>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</si>
  <si>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</si>
  <si>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</si>
  <si>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</si>
  <si>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</si>
  <si>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</si>
  <si>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</si>
  <si>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</si>
  <si>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</si>
  <si>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</si>
  <si>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</si>
  <si>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</si>
  <si>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</si>
  <si>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</si>
  <si>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</si>
  <si>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</si>
  <si>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</si>
  <si>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</si>
  <si>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</si>
  <si>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</si>
  <si>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</si>
  <si>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</si>
  <si>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</si>
  <si>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</si>
  <si>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</si>
  <si>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</si>
  <si>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</si>
  <si>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</si>
  <si>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</si>
  <si>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</si>
  <si>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</si>
  <si>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</si>
  <si>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</si>
  <si>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</si>
  <si>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</si>
  <si>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</si>
  <si>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</si>
  <si>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</si>
  <si>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</si>
  <si>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</si>
  <si>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</si>
  <si>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</si>
  <si>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</si>
  <si>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</si>
  <si>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</si>
  <si>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</si>
  <si>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</si>
  <si>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</si>
  <si>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</si>
  <si>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</si>
  <si>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</si>
  <si>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</si>
  <si>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</si>
  <si>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</si>
  <si>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</si>
  <si>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</si>
  <si>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</si>
  <si>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</si>
  <si>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</si>
  <si>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</si>
  <si>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</si>
  <si>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</si>
  <si>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</si>
  <si>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</si>
  <si>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</si>
  <si>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</si>
  <si>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</si>
  <si>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</si>
  <si>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</si>
  <si>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</si>
  <si>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</si>
  <si>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</si>
  <si>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</si>
  <si>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</si>
  <si>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</si>
  <si>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</si>
  <si>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</si>
  <si>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</si>
  <si>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</si>
  <si>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</si>
  <si>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</si>
  <si>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</si>
  <si>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</si>
  <si>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</si>
  <si>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</si>
  <si>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</si>
  <si>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</si>
  <si>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</si>
  <si>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</si>
  <si>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</si>
  <si>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</si>
  <si>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</si>
  <si>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</si>
  <si>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</si>
  <si>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</si>
  <si>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</si>
  <si>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</si>
  <si>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</si>
  <si>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</si>
  <si>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</si>
  <si>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</si>
  <si>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</si>
  <si>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</si>
  <si>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</si>
  <si>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</si>
  <si>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</si>
  <si>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</si>
  <si>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</si>
  <si>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</si>
  <si>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</si>
  <si>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</si>
  <si>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</si>
  <si>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</si>
  <si>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</si>
  <si>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</si>
  <si>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</si>
  <si>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</si>
  <si>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</si>
  <si>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</si>
  <si>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</si>
  <si>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</si>
  <si>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</si>
  <si>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</si>
  <si>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</si>
  <si>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</si>
  <si>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</si>
  <si>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</si>
  <si>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</si>
  <si>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</si>
  <si>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</si>
  <si>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</si>
  <si>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</si>
  <si>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</si>
  <si>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</si>
  <si>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</si>
  <si>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</si>
  <si>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</si>
  <si>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</si>
  <si>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</si>
  <si>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</si>
  <si>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</si>
  <si>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</si>
  <si>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</si>
  <si>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Profit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</si>
  <si>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</si>
  <si>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</si>
  <si>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</si>
  <si>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</si>
  <si>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</si>
  <si>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</si>
  <si>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</si>
  <si>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</si>
  <si>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</si>
  <si>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</si>
  <si>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</si>
  <si>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</si>
  <si>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</si>
  <si>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</si>
  <si>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</si>
  <si>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</si>
  <si>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</si>
  <si>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</si>
  <si>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</si>
  <si>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</si>
  <si>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</si>
  <si>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</si>
  <si>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</si>
  <si>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</si>
  <si>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</si>
  <si>
    <t>KIH-12-EC-1234</t>
  </si>
  <si>
    <t>7284-1234</t>
  </si>
  <si>
    <t>PROTECTOR ASSY</t>
  </si>
  <si>
    <t>PCS</t>
  </si>
  <si>
    <t>admin-purchase@pemi.co.id</t>
  </si>
  <si>
    <t>motcomp-03@pemi.co.id;motcomp-02@pemi.co.id;motcomp-04@pemi.co.id;motcomp-06@pemi.co.id;nisa-k@pemi.co.id;mahfud-a@pemi.co.id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</si>
</sst>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name val="Arial"/>
      <family val="2"/>
    </font>
    <font>
      <b/>
      <sz val="11"/>
      <name val="ＭＳ Ｐゴシック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8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9" fillId="0" borderId="9" xfId="0" applyFont="1" applyBorder="1" applyAlignment="1">
      <alignment horizontal="right"/>
    </xf>
    <xf numFmtId="0" fontId="29" fillId="0" borderId="9" xfId="0" applyFont="1" applyBorder="1" applyAlignment="1">
      <alignment horizontal="center" vertical="center"/>
    </xf>
    <xf numFmtId="0" fontId="29" fillId="0" borderId="9" xfId="0" applyFont="1" applyBorder="1" applyAlignment="1">
      <alignment horizontal="left"/>
    </xf>
    <xf numFmtId="0" fontId="29" fillId="0" borderId="60" xfId="0" applyFont="1" applyBorder="1" applyAlignment="1">
      <alignment horizontal="right"/>
    </xf>
    <xf numFmtId="0" fontId="29" fillId="0" borderId="60" xfId="0" applyFont="1" applyBorder="1" applyAlignment="1">
      <alignment horizontal="left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>
      <alignment horizontal="left"/>
    </xf>
    <xf numFmtId="0" fontId="29" fillId="0" borderId="32" xfId="0" applyFont="1" applyBorder="1" applyAlignment="1">
      <alignment horizontal="right"/>
    </xf>
    <xf numFmtId="0" fontId="29" fillId="0" borderId="32" xfId="0" applyFont="1" applyBorder="1" applyAlignment="1">
      <alignment horizontal="left"/>
    </xf>
    <xf numFmtId="0" fontId="29" fillId="0" borderId="6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12" borderId="114" xfId="0" applyNumberFormat="1" applyFont="1" applyFill="1" applyBorder="1" applyAlignment="1">
      <alignment horizontal="center" vertical="center"/>
    </xf>
    <xf numFmtId="164" fontId="2" fillId="12" borderId="117" xfId="0" applyNumberFormat="1" applyFont="1" applyFill="1" applyBorder="1" applyAlignment="1">
      <alignment horizontal="center" vertical="center"/>
    </xf>
    <xf numFmtId="164" fontId="2" fillId="12" borderId="115" xfId="0" applyNumberFormat="1" applyFont="1" applyFill="1" applyBorder="1" applyAlignment="1">
      <alignment horizontal="center" vertical="center"/>
    </xf>
    <xf numFmtId="164" fontId="2" fillId="12" borderId="116" xfId="0" applyNumberFormat="1" applyFont="1" applyFill="1" applyBorder="1" applyAlignment="1">
      <alignment horizontal="center" vertical="center"/>
    </xf>
    <xf numFmtId="164" fontId="2" fillId="0" borderId="116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28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180975</xdr:rowOff>
        </xdr:from>
        <xdr:to>
          <xdr:col>11</xdr:col>
          <xdr:colOff>9525</xdr:colOff>
          <xdr:row>1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Q3" sqref="Q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308</v>
      </c>
      <c r="F1" s="450">
        <v>2</v>
      </c>
      <c r="G1" s="450" t="s">
        <v>483</v>
      </c>
      <c r="H1" s="451" t="s">
        <v>484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/>
      <c r="S3" s="553">
        <f ca="1">TODAY()</f>
        <v>42313</v>
      </c>
      <c r="T3" s="553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554" t="s">
        <v>50</v>
      </c>
      <c r="H6" s="554"/>
      <c r="I6" s="554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555" t="s">
        <v>69</v>
      </c>
      <c r="F8" s="556"/>
      <c r="G8" s="556"/>
      <c r="H8" s="557"/>
      <c r="I8" s="475" t="s">
        <v>479</v>
      </c>
      <c r="J8" s="477" t="s">
        <v>435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550" t="s">
        <v>79</v>
      </c>
      <c r="F9" s="551"/>
      <c r="G9" s="551"/>
      <c r="H9" s="552"/>
      <c r="I9" s="476" t="s">
        <v>480</v>
      </c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550" t="s">
        <v>478</v>
      </c>
      <c r="F10" s="551"/>
      <c r="G10" s="551"/>
      <c r="H10" s="552"/>
      <c r="I10" s="468" t="s">
        <v>481</v>
      </c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558" t="s">
        <v>89</v>
      </c>
      <c r="F11" s="559"/>
      <c r="G11" s="559"/>
      <c r="H11" s="560"/>
      <c r="I11" s="561"/>
      <c r="J11" s="562"/>
      <c r="K11" s="562"/>
      <c r="L11" s="563"/>
      <c r="M11" s="561" t="s">
        <v>90</v>
      </c>
      <c r="N11" s="562"/>
      <c r="O11" s="562"/>
      <c r="P11" s="563"/>
      <c r="Q11" s="561"/>
      <c r="R11" s="562"/>
      <c r="S11" s="562"/>
      <c r="T11" s="564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543"/>
      <c r="F12" s="544"/>
      <c r="G12" s="544"/>
      <c r="H12" s="545"/>
      <c r="I12" s="546"/>
      <c r="J12" s="547"/>
      <c r="K12" s="547"/>
      <c r="L12" s="548"/>
      <c r="M12" s="546"/>
      <c r="N12" s="547"/>
      <c r="O12" s="547"/>
      <c r="P12" s="548"/>
      <c r="Q12" s="546"/>
      <c r="R12" s="547"/>
      <c r="S12" s="547"/>
      <c r="T12" s="549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550" t="s">
        <v>103</v>
      </c>
      <c r="F13" s="551"/>
      <c r="G13" s="551"/>
      <c r="H13" s="552"/>
      <c r="I13" s="71">
        <v>16000</v>
      </c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550" t="s">
        <v>111</v>
      </c>
      <c r="F14" s="551"/>
      <c r="G14" s="551"/>
      <c r="H14" s="552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565" t="s">
        <v>119</v>
      </c>
      <c r="G15" s="566"/>
      <c r="H15" s="84"/>
      <c r="I15" s="586" t="s">
        <v>120</v>
      </c>
      <c r="J15" s="587"/>
      <c r="K15" s="576" t="s">
        <v>121</v>
      </c>
      <c r="L15" s="588"/>
      <c r="M15" s="586" t="s">
        <v>120</v>
      </c>
      <c r="N15" s="587"/>
      <c r="O15" s="576" t="s">
        <v>121</v>
      </c>
      <c r="P15" s="588"/>
      <c r="Q15" s="586" t="s">
        <v>120</v>
      </c>
      <c r="R15" s="587"/>
      <c r="S15" s="576" t="s">
        <v>121</v>
      </c>
      <c r="T15" s="577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578" t="s">
        <v>128</v>
      </c>
      <c r="G16" s="579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580"/>
      <c r="K26" s="581"/>
      <c r="L26" s="582"/>
      <c r="M26" s="150" t="s">
        <v>179</v>
      </c>
      <c r="N26" s="580"/>
      <c r="O26" s="581"/>
      <c r="P26" s="582"/>
      <c r="Q26" s="150" t="s">
        <v>179</v>
      </c>
      <c r="R26" s="580"/>
      <c r="S26" s="581"/>
      <c r="T26" s="583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584" t="s">
        <v>182</v>
      </c>
      <c r="G27" s="585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565" t="s">
        <v>186</v>
      </c>
      <c r="G28" s="566"/>
      <c r="H28" s="567"/>
      <c r="I28" s="158" t="s">
        <v>480</v>
      </c>
      <c r="J28" s="159" t="s">
        <v>482</v>
      </c>
      <c r="K28" s="160">
        <v>0</v>
      </c>
      <c r="L28" s="161">
        <v>0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568" t="s">
        <v>191</v>
      </c>
      <c r="H29" s="165">
        <v>1</v>
      </c>
      <c r="I29" s="509"/>
      <c r="J29" s="521"/>
      <c r="K29" s="522"/>
      <c r="L29" s="523"/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569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569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569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569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569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569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569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0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568" t="s">
        <v>203</v>
      </c>
      <c r="H38" s="165">
        <v>1</v>
      </c>
      <c r="I38" s="509"/>
      <c r="J38" s="510"/>
      <c r="K38" s="511"/>
      <c r="L38" s="512"/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569"/>
      <c r="H39" s="175">
        <v>2</v>
      </c>
      <c r="I39" s="513"/>
      <c r="J39" s="514"/>
      <c r="K39" s="515"/>
      <c r="L39" s="516"/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569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569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569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569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569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569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0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>
        <v>0</v>
      </c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570" t="s">
        <v>219</v>
      </c>
      <c r="F49" s="571"/>
      <c r="G49" s="571"/>
      <c r="H49" s="222" t="str">
        <f>IF($H$27="","",$H$27)</f>
        <v>USD/pcs</v>
      </c>
      <c r="I49" s="223">
        <f>SUM(I46:I48,I37,I27)</f>
        <v>0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226</v>
      </c>
      <c r="J51" s="241" t="s">
        <v>227</v>
      </c>
      <c r="K51" s="242" t="s">
        <v>228</v>
      </c>
      <c r="L51" s="243" t="s">
        <v>189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572" t="s">
        <v>221</v>
      </c>
      <c r="G52" s="573"/>
      <c r="H52" s="247">
        <v>1</v>
      </c>
      <c r="I52" s="485"/>
      <c r="J52" s="486"/>
      <c r="K52" s="487"/>
      <c r="L52" s="488"/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/>
      <c r="J53" s="490"/>
      <c r="K53" s="491"/>
      <c r="L53" s="492"/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/>
      <c r="J54" s="490"/>
      <c r="K54" s="491"/>
      <c r="L54" s="492"/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/>
      <c r="K55" s="491"/>
      <c r="L55" s="492" t="str">
        <f t="shared" ref="L55:L59" si="8">IF(J55="","",ROUND(K55/J55*1000,2))</f>
        <v/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/>
      <c r="K56" s="491"/>
      <c r="L56" s="492" t="str">
        <f t="shared" si="8"/>
        <v/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/>
      <c r="K57" s="491"/>
      <c r="L57" s="492" t="str">
        <f t="shared" si="8"/>
        <v/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/>
      <c r="K58" s="495"/>
      <c r="L58" s="496" t="str">
        <f t="shared" si="8"/>
        <v/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>
        <v>0</v>
      </c>
      <c r="J59" s="498"/>
      <c r="K59" s="499"/>
      <c r="L59" s="500" t="str">
        <f t="shared" si="8"/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574" t="s">
        <v>240</v>
      </c>
      <c r="F60" s="575"/>
      <c r="G60" s="575"/>
      <c r="H60" s="278" t="str">
        <f>IF($H$27="","",$H$27)</f>
        <v>USD/pcs</v>
      </c>
      <c r="I60" s="279">
        <f>SUM(L52:L59)</f>
        <v>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600" t="s">
        <v>243</v>
      </c>
      <c r="G61" s="601"/>
      <c r="H61" s="602"/>
      <c r="I61" s="285" t="s">
        <v>128</v>
      </c>
      <c r="J61" s="286" t="s">
        <v>244</v>
      </c>
      <c r="K61" s="287" t="s">
        <v>221</v>
      </c>
      <c r="L61" s="288" t="s">
        <v>453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600" t="s">
        <v>246</v>
      </c>
      <c r="G62" s="601"/>
      <c r="H62" s="602"/>
      <c r="I62" s="501"/>
      <c r="J62" s="502"/>
      <c r="K62" s="503"/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600" t="s">
        <v>189</v>
      </c>
      <c r="G63" s="601"/>
      <c r="H63" s="602"/>
      <c r="I63" s="504">
        <v>0</v>
      </c>
      <c r="J63" s="505"/>
      <c r="K63" s="506"/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603" t="s">
        <v>249</v>
      </c>
      <c r="G64" s="604"/>
      <c r="H64" s="306" t="str">
        <f>IF($H$27="","",$H$27)</f>
        <v>USD/pcs</v>
      </c>
      <c r="I64" s="307">
        <f>SUM(I63:L63)</f>
        <v>0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605" t="s">
        <v>252</v>
      </c>
      <c r="G65" s="606"/>
      <c r="H65" s="607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08" t="s">
        <v>255</v>
      </c>
      <c r="H66" s="609"/>
      <c r="I66" s="322" t="s">
        <v>187</v>
      </c>
      <c r="J66" s="589"/>
      <c r="K66" s="590"/>
      <c r="L66" s="591"/>
      <c r="M66" s="322" t="s">
        <v>187</v>
      </c>
      <c r="N66" s="592" t="s">
        <v>80</v>
      </c>
      <c r="O66" s="593"/>
      <c r="P66" s="594"/>
      <c r="Q66" s="322" t="s">
        <v>187</v>
      </c>
      <c r="R66" s="592"/>
      <c r="S66" s="593"/>
      <c r="T66" s="595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10"/>
      <c r="H67" s="611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10"/>
      <c r="H68" s="611"/>
      <c r="I68" s="331"/>
      <c r="J68" s="596"/>
      <c r="K68" s="597"/>
      <c r="L68" s="598"/>
      <c r="M68" s="331"/>
      <c r="N68" s="596"/>
      <c r="O68" s="597"/>
      <c r="P68" s="598"/>
      <c r="Q68" s="331"/>
      <c r="R68" s="596"/>
      <c r="S68" s="597"/>
      <c r="T68" s="599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10"/>
      <c r="H69" s="611"/>
      <c r="I69" s="333" t="s">
        <v>261</v>
      </c>
      <c r="J69" s="481"/>
      <c r="K69" s="335" t="s">
        <v>222</v>
      </c>
      <c r="L69" s="483"/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12"/>
      <c r="H70" s="613"/>
      <c r="I70" s="339" t="s">
        <v>264</v>
      </c>
      <c r="J70" s="482"/>
      <c r="K70" s="341" t="s">
        <v>265</v>
      </c>
      <c r="L70" s="484"/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14" t="s">
        <v>189</v>
      </c>
      <c r="G71" s="615"/>
      <c r="H71" s="344" t="s">
        <v>268</v>
      </c>
      <c r="I71" s="616">
        <v>2500</v>
      </c>
      <c r="J71" s="617"/>
      <c r="K71" s="345"/>
      <c r="L71" s="346"/>
      <c r="M71" s="616">
        <v>2500</v>
      </c>
      <c r="N71" s="617"/>
      <c r="O71" s="345"/>
      <c r="P71" s="346"/>
      <c r="Q71" s="618"/>
      <c r="R71" s="619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08" t="s">
        <v>255</v>
      </c>
      <c r="H72" s="609"/>
      <c r="I72" s="322" t="s">
        <v>187</v>
      </c>
      <c r="J72" s="592"/>
      <c r="K72" s="593"/>
      <c r="L72" s="594"/>
      <c r="M72" s="322" t="s">
        <v>187</v>
      </c>
      <c r="N72" s="592"/>
      <c r="O72" s="593"/>
      <c r="P72" s="594"/>
      <c r="Q72" s="322" t="s">
        <v>187</v>
      </c>
      <c r="R72" s="592"/>
      <c r="S72" s="593"/>
      <c r="T72" s="595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10"/>
      <c r="H73" s="611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10"/>
      <c r="H74" s="611"/>
      <c r="I74" s="331"/>
      <c r="J74" s="596"/>
      <c r="K74" s="597"/>
      <c r="L74" s="598"/>
      <c r="M74" s="331"/>
      <c r="N74" s="596"/>
      <c r="O74" s="597"/>
      <c r="P74" s="598"/>
      <c r="Q74" s="331"/>
      <c r="R74" s="596"/>
      <c r="S74" s="597"/>
      <c r="T74" s="599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10"/>
      <c r="H75" s="611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12"/>
      <c r="H76" s="613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/>
      <c r="F77" s="614" t="s">
        <v>189</v>
      </c>
      <c r="G77" s="615"/>
      <c r="H77" s="344" t="s">
        <v>268</v>
      </c>
      <c r="I77" s="618"/>
      <c r="J77" s="619"/>
      <c r="K77" s="345"/>
      <c r="L77" s="346"/>
      <c r="M77" s="618"/>
      <c r="N77" s="619"/>
      <c r="O77" s="345"/>
      <c r="P77" s="346"/>
      <c r="Q77" s="618"/>
      <c r="R77" s="619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27" t="s">
        <v>201</v>
      </c>
      <c r="G78" s="624"/>
      <c r="H78" s="628"/>
      <c r="I78" s="629">
        <v>0</v>
      </c>
      <c r="J78" s="630"/>
      <c r="K78" s="622">
        <f>IF(I65=AE4,I78,0)</f>
        <v>0</v>
      </c>
      <c r="L78" s="631"/>
      <c r="M78" s="629">
        <f>M71*P69+M77*P75</f>
        <v>2500</v>
      </c>
      <c r="N78" s="630"/>
      <c r="O78" s="622">
        <f>IF(M65=AI4,M78,0)</f>
        <v>0</v>
      </c>
      <c r="P78" s="631"/>
      <c r="Q78" s="620">
        <f>Q71*T69+Q77*T75</f>
        <v>0</v>
      </c>
      <c r="R78" s="621"/>
      <c r="S78" s="622">
        <f>IF(Q65=AM4,Q78,0)</f>
        <v>0</v>
      </c>
      <c r="T78" s="623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24" t="s">
        <v>274</v>
      </c>
      <c r="G79" s="624"/>
      <c r="H79" s="350" t="str">
        <f>IF($H$27="","",$H$27)</f>
        <v>USD/pcs</v>
      </c>
      <c r="I79" s="625">
        <f>IF(K78=0,0,ROUND(K78/J65/I14*1000,2))</f>
        <v>0</v>
      </c>
      <c r="J79" s="626"/>
      <c r="K79" s="351"/>
      <c r="L79" s="352"/>
      <c r="M79" s="625">
        <f>IF(O78=0,0,ROUND(O78/N65/M14*1000,2))</f>
        <v>0</v>
      </c>
      <c r="N79" s="626"/>
      <c r="O79" s="351"/>
      <c r="P79" s="352"/>
      <c r="Q79" s="625">
        <f>IF(S78=0,0,ROUND(S78/R65/Q14*1000,2))</f>
        <v>0</v>
      </c>
      <c r="R79" s="626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41" t="s">
        <v>275</v>
      </c>
      <c r="F80" s="643" t="s">
        <v>276</v>
      </c>
      <c r="G80" s="644"/>
      <c r="H80" s="645"/>
      <c r="I80" s="646" t="s">
        <v>277</v>
      </c>
      <c r="J80" s="647"/>
      <c r="K80" s="647"/>
      <c r="L80" s="648"/>
      <c r="M80" s="646" t="s">
        <v>277</v>
      </c>
      <c r="N80" s="647"/>
      <c r="O80" s="647"/>
      <c r="P80" s="648"/>
      <c r="Q80" s="646"/>
      <c r="R80" s="647"/>
      <c r="S80" s="647"/>
      <c r="T80" s="649"/>
      <c r="U80" s="55"/>
      <c r="V80" s="55"/>
      <c r="W80" s="55"/>
      <c r="X80" s="55"/>
      <c r="Y80" s="55"/>
      <c r="AG80" s="32"/>
    </row>
    <row r="81" spans="5:38" ht="18.75" customHeight="1" thickBot="1">
      <c r="E81" s="642"/>
      <c r="F81" s="650" t="s">
        <v>278</v>
      </c>
      <c r="G81" s="651"/>
      <c r="H81" s="652"/>
      <c r="I81" s="653"/>
      <c r="J81" s="654"/>
      <c r="K81" s="655"/>
      <c r="L81" s="656"/>
      <c r="M81" s="632">
        <v>100</v>
      </c>
      <c r="N81" s="633"/>
      <c r="O81" s="634">
        <v>400</v>
      </c>
      <c r="P81" s="657"/>
      <c r="Q81" s="632"/>
      <c r="R81" s="633"/>
      <c r="S81" s="634"/>
      <c r="T81" s="63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279</v>
      </c>
      <c r="G82" s="360"/>
      <c r="H82" s="361"/>
      <c r="I82" s="636" t="s">
        <v>163</v>
      </c>
      <c r="J82" s="637"/>
      <c r="K82" s="638" t="s">
        <v>188</v>
      </c>
      <c r="L82" s="639"/>
      <c r="M82" s="636" t="s">
        <v>163</v>
      </c>
      <c r="N82" s="637"/>
      <c r="O82" s="638" t="s">
        <v>188</v>
      </c>
      <c r="P82" s="639"/>
      <c r="Q82" s="636" t="s">
        <v>163</v>
      </c>
      <c r="R82" s="637"/>
      <c r="S82" s="638" t="s">
        <v>188</v>
      </c>
      <c r="T82" s="64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60" t="s">
        <v>280</v>
      </c>
      <c r="G83" s="661"/>
      <c r="H83" s="662"/>
      <c r="I83" s="663"/>
      <c r="J83" s="664"/>
      <c r="K83" s="665"/>
      <c r="L83" s="666"/>
      <c r="M83" s="667">
        <v>15000</v>
      </c>
      <c r="N83" s="668"/>
      <c r="O83" s="658">
        <v>1</v>
      </c>
      <c r="P83" s="669"/>
      <c r="Q83" s="667"/>
      <c r="R83" s="668"/>
      <c r="S83" s="658"/>
      <c r="T83" s="659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60" t="s">
        <v>281</v>
      </c>
      <c r="G84" s="661"/>
      <c r="H84" s="662"/>
      <c r="I84" s="663"/>
      <c r="J84" s="664"/>
      <c r="K84" s="665"/>
      <c r="L84" s="666"/>
      <c r="M84" s="667">
        <v>2000</v>
      </c>
      <c r="N84" s="668"/>
      <c r="O84" s="658">
        <v>1</v>
      </c>
      <c r="P84" s="669"/>
      <c r="Q84" s="667"/>
      <c r="R84" s="668"/>
      <c r="S84" s="658"/>
      <c r="T84" s="659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60" t="s">
        <v>282</v>
      </c>
      <c r="G85" s="661"/>
      <c r="H85" s="662"/>
      <c r="I85" s="663"/>
      <c r="J85" s="664"/>
      <c r="K85" s="665"/>
      <c r="L85" s="666"/>
      <c r="M85" s="667">
        <v>2000</v>
      </c>
      <c r="N85" s="668"/>
      <c r="O85" s="658">
        <v>11</v>
      </c>
      <c r="P85" s="669"/>
      <c r="Q85" s="667"/>
      <c r="R85" s="668"/>
      <c r="S85" s="658"/>
      <c r="T85" s="659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60" t="s">
        <v>283</v>
      </c>
      <c r="G86" s="661"/>
      <c r="H86" s="662"/>
      <c r="I86" s="663"/>
      <c r="J86" s="664"/>
      <c r="K86" s="665"/>
      <c r="L86" s="666"/>
      <c r="M86" s="667">
        <v>2000</v>
      </c>
      <c r="N86" s="668"/>
      <c r="O86" s="658">
        <v>1</v>
      </c>
      <c r="P86" s="669"/>
      <c r="Q86" s="667"/>
      <c r="R86" s="668"/>
      <c r="S86" s="658"/>
      <c r="T86" s="659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/>
      <c r="F87" s="660" t="s">
        <v>284</v>
      </c>
      <c r="G87" s="661"/>
      <c r="H87" s="662"/>
      <c r="I87" s="663"/>
      <c r="J87" s="664"/>
      <c r="K87" s="665"/>
      <c r="L87" s="666"/>
      <c r="M87" s="667">
        <v>2000</v>
      </c>
      <c r="N87" s="668"/>
      <c r="O87" s="658">
        <v>1</v>
      </c>
      <c r="P87" s="669"/>
      <c r="Q87" s="667"/>
      <c r="R87" s="668"/>
      <c r="S87" s="658"/>
      <c r="T87" s="659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/>
      <c r="F88" s="660" t="s">
        <v>285</v>
      </c>
      <c r="G88" s="661"/>
      <c r="H88" s="662"/>
      <c r="I88" s="663"/>
      <c r="J88" s="664"/>
      <c r="K88" s="665"/>
      <c r="L88" s="666"/>
      <c r="M88" s="667">
        <v>2000</v>
      </c>
      <c r="N88" s="668"/>
      <c r="O88" s="658">
        <v>1</v>
      </c>
      <c r="P88" s="669"/>
      <c r="Q88" s="667"/>
      <c r="R88" s="668"/>
      <c r="S88" s="658"/>
      <c r="T88" s="659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60" t="s">
        <v>286</v>
      </c>
      <c r="G89" s="661"/>
      <c r="H89" s="662"/>
      <c r="I89" s="663"/>
      <c r="J89" s="664"/>
      <c r="K89" s="665"/>
      <c r="L89" s="666"/>
      <c r="M89" s="667">
        <v>1000</v>
      </c>
      <c r="N89" s="668"/>
      <c r="O89" s="658">
        <v>1</v>
      </c>
      <c r="P89" s="669"/>
      <c r="Q89" s="667"/>
      <c r="R89" s="668"/>
      <c r="S89" s="658"/>
      <c r="T89" s="659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60" t="s">
        <v>285</v>
      </c>
      <c r="G90" s="661"/>
      <c r="H90" s="662"/>
      <c r="I90" s="663"/>
      <c r="J90" s="664"/>
      <c r="K90" s="665"/>
      <c r="L90" s="666"/>
      <c r="M90" s="667">
        <v>2000</v>
      </c>
      <c r="N90" s="668"/>
      <c r="O90" s="658">
        <v>1</v>
      </c>
      <c r="P90" s="669"/>
      <c r="Q90" s="667"/>
      <c r="R90" s="668"/>
      <c r="S90" s="658"/>
      <c r="T90" s="659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93" t="s">
        <v>286</v>
      </c>
      <c r="G91" s="694"/>
      <c r="H91" s="695"/>
      <c r="I91" s="696"/>
      <c r="J91" s="697"/>
      <c r="K91" s="698"/>
      <c r="L91" s="699"/>
      <c r="M91" s="700">
        <v>0</v>
      </c>
      <c r="N91" s="701"/>
      <c r="O91" s="683">
        <v>1</v>
      </c>
      <c r="P91" s="702"/>
      <c r="Q91" s="700"/>
      <c r="R91" s="701"/>
      <c r="S91" s="683"/>
      <c r="T91" s="684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85" t="s">
        <v>287</v>
      </c>
      <c r="G92" s="685"/>
      <c r="H92" s="364" t="str">
        <f t="shared" ref="H92:H102" si="9">IF($H$27="","",$H$27)</f>
        <v>USD/pcs</v>
      </c>
      <c r="I92" s="686" t="e">
        <f>ROUND(((I83*K83+I84*K84+I91*K91+I85*K85+I86*K86+I87*K87+I88*K88+I89*K89+I90*K90)/K81),2)</f>
        <v>#DIV/0!</v>
      </c>
      <c r="J92" s="687"/>
      <c r="K92" s="687"/>
      <c r="L92" s="688"/>
      <c r="M92" s="686">
        <f>ROUND(((M83*O83+M84*O84+M91*O91+M85*O85+M86*O86+M87*O87+M88*O88+M89*O89+M90*O90)/O81),2)</f>
        <v>120</v>
      </c>
      <c r="N92" s="687"/>
      <c r="O92" s="687"/>
      <c r="P92" s="688"/>
      <c r="Q92" s="689" t="e">
        <f>ROUND((Q88*S88+Q89*S89+Q90*S90+Q91*S91)/S81*1000,2)</f>
        <v>#DIV/0!</v>
      </c>
      <c r="R92" s="690">
        <f>ROUND((R88*T88+R89*T89+R90*T90+R91*T91)/$O$81*1000,2)</f>
        <v>0</v>
      </c>
      <c r="S92" s="691"/>
      <c r="T92" s="692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670" t="s">
        <v>216</v>
      </c>
      <c r="F93" s="673"/>
      <c r="G93" s="674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71"/>
      <c r="F94" s="675"/>
      <c r="G94" s="676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72"/>
      <c r="F95" s="677"/>
      <c r="G95" s="678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79" t="s">
        <v>288</v>
      </c>
      <c r="F96" s="680"/>
      <c r="G96" s="680"/>
      <c r="H96" s="376" t="str">
        <f t="shared" si="9"/>
        <v>USD/pcs</v>
      </c>
      <c r="I96" s="681" t="e">
        <f>SUM(I49,I60,I64,I79,I92,I93,I94,I95)</f>
        <v>#DIV/0!</v>
      </c>
      <c r="J96" s="682"/>
      <c r="K96" s="377"/>
      <c r="L96" s="378"/>
      <c r="M96" s="681">
        <f>SUM(M49,M60,M64,M79,M92,M93,M94,M95)</f>
        <v>1008.13</v>
      </c>
      <c r="N96" s="682"/>
      <c r="O96" s="377"/>
      <c r="P96" s="378"/>
      <c r="Q96" s="681" t="e">
        <f>SUM(Q49,Q60,Q64,Q79,Q92,Q93,Q94,Q95)</f>
        <v>#DIV/0!</v>
      </c>
      <c r="R96" s="682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711" t="s">
        <v>289</v>
      </c>
      <c r="F97" s="712"/>
      <c r="G97" s="712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713"/>
      <c r="F98" s="714"/>
      <c r="G98" s="714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713"/>
      <c r="F99" s="714"/>
      <c r="G99" s="714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715"/>
      <c r="F100" s="716"/>
      <c r="G100" s="716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732" t="s">
        <v>290</v>
      </c>
      <c r="F101" s="733"/>
      <c r="G101" s="733"/>
      <c r="H101" s="395" t="str">
        <f t="shared" si="9"/>
        <v>USD/pcs</v>
      </c>
      <c r="I101" s="681" t="e">
        <f>SUM(I96:I100)</f>
        <v>#DIV/0!</v>
      </c>
      <c r="J101" s="682"/>
      <c r="K101" s="396"/>
      <c r="L101" s="397"/>
      <c r="M101" s="681">
        <f>SUM(M96:M100)</f>
        <v>1018.13</v>
      </c>
      <c r="N101" s="682"/>
      <c r="O101" s="396"/>
      <c r="P101" s="397"/>
      <c r="Q101" s="681" t="e">
        <f>SUM(Q96:Q100)</f>
        <v>#DIV/0!</v>
      </c>
      <c r="R101" s="682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703" t="s">
        <v>291</v>
      </c>
      <c r="F102" s="704"/>
      <c r="G102" s="704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705" t="s">
        <v>292</v>
      </c>
      <c r="F103" s="706"/>
      <c r="G103" s="706"/>
      <c r="H103" s="405" t="s">
        <v>293</v>
      </c>
      <c r="I103" s="406" t="s">
        <v>294</v>
      </c>
      <c r="J103" s="407"/>
      <c r="K103" s="408"/>
      <c r="L103" s="409"/>
      <c r="M103" s="406" t="s">
        <v>294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707"/>
      <c r="F104" s="708"/>
      <c r="G104" s="708"/>
      <c r="H104" s="412" t="str">
        <f>IF($H$27="","",$H$27)</f>
        <v>USD/pcs</v>
      </c>
      <c r="I104" s="709" t="e">
        <f>SUM(I101:I102)</f>
        <v>#DIV/0!</v>
      </c>
      <c r="J104" s="710"/>
      <c r="K104" s="413"/>
      <c r="L104" s="414"/>
      <c r="M104" s="709">
        <f>SUM(M101:M102)</f>
        <v>1028.1300000000001</v>
      </c>
      <c r="N104" s="710"/>
      <c r="O104" s="413"/>
      <c r="P104" s="414"/>
      <c r="Q104" s="709" t="e">
        <f>SUM(Q101:Q102)</f>
        <v>#DIV/0!</v>
      </c>
      <c r="R104" s="710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717" t="s">
        <v>295</v>
      </c>
      <c r="F105" s="718"/>
      <c r="G105" s="718"/>
      <c r="H105" s="417" t="s">
        <v>296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719" t="s">
        <v>297</v>
      </c>
      <c r="F106" s="720"/>
      <c r="G106" s="720"/>
      <c r="H106" s="422" t="s">
        <v>298</v>
      </c>
      <c r="I106" s="423"/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721" t="s">
        <v>299</v>
      </c>
      <c r="F107" s="722"/>
      <c r="G107" s="428" t="s">
        <v>300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723"/>
      <c r="F108" s="724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723"/>
      <c r="F109" s="724"/>
      <c r="G109" s="435" t="s">
        <v>301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725"/>
      <c r="F110" s="726"/>
      <c r="G110" s="441" t="s">
        <v>302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727" t="s">
        <v>303</v>
      </c>
      <c r="F111" s="728"/>
      <c r="G111" s="728"/>
      <c r="H111" s="728"/>
      <c r="I111" s="729"/>
      <c r="J111" s="730"/>
      <c r="K111" s="730"/>
      <c r="L111" s="731"/>
      <c r="M111" s="729" t="s">
        <v>304</v>
      </c>
      <c r="N111" s="730"/>
      <c r="O111" s="730"/>
      <c r="P111" s="731"/>
      <c r="Q111" s="741"/>
      <c r="R111" s="742"/>
      <c r="S111" s="742"/>
      <c r="T111" s="743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744" t="s">
        <v>305</v>
      </c>
      <c r="F112" s="745"/>
      <c r="G112" s="745"/>
      <c r="H112" s="745"/>
      <c r="I112" s="746"/>
      <c r="J112" s="747"/>
      <c r="K112" s="747"/>
      <c r="L112" s="748"/>
      <c r="M112" s="746"/>
      <c r="N112" s="747"/>
      <c r="O112" s="747"/>
      <c r="P112" s="748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749" t="s">
        <v>306</v>
      </c>
      <c r="F113" s="750"/>
      <c r="G113" s="750"/>
      <c r="H113" s="750"/>
      <c r="I113" s="751"/>
      <c r="J113" s="752"/>
      <c r="K113" s="752"/>
      <c r="L113" s="753"/>
      <c r="M113" s="751">
        <v>41377</v>
      </c>
      <c r="N113" s="752"/>
      <c r="O113" s="752"/>
      <c r="P113" s="753"/>
      <c r="Q113" s="754"/>
      <c r="R113" s="755"/>
      <c r="S113" s="755"/>
      <c r="T113" s="756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734" t="s">
        <v>307</v>
      </c>
      <c r="F114" s="735"/>
      <c r="G114" s="735"/>
      <c r="H114" s="736"/>
      <c r="I114" s="737"/>
      <c r="J114" s="738"/>
      <c r="K114" s="738"/>
      <c r="L114" s="739"/>
      <c r="M114" s="737"/>
      <c r="N114" s="738"/>
      <c r="O114" s="738"/>
      <c r="P114" s="739"/>
      <c r="Q114" s="737"/>
      <c r="R114" s="738"/>
      <c r="S114" s="738"/>
      <c r="T114" s="740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I112:I113 M112:M113"/>
    <dataValidation imeMode="halfAlpha" allowBlank="1" showInputMessage="1" showErrorMessage="1" promptTitle="型完予定日" prompt="引合見積の場合は、型完予定日を必ず入力して下さい" sqref="I111 M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_x000a_縦*横*高さ" sqref="I80:T80"/>
    <dataValidation imeMode="off" allowBlank="1" showInputMessage="1" showErrorMessage="1" promptTitle="内装数" prompt="内装数を入力して下さい_x000a_(例)1袋にバラ入れで10個、ダンボールに4袋の場合_x000a_→&quot;10&quot;" sqref="I81:J81 Q81:R81 M81:N81"/>
    <dataValidation imeMode="off" allowBlank="1" showInputMessage="1" showErrorMessage="1" promptTitle="外装数" prompt="外装数を入力して下さい_x000a_(例1)1袋にバラ入れで10個、ダンボールに4袋の場合_x000a_→&quot;4&quot;" sqref="K81:L81 S81:T81 O81:P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_x000a_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_x000a_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_x000a_(例）_x000a_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I106 Q106 M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_x000a_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_x000a_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_x000a_(例)_x000a_PP、PBT" sqref="J17 T17:Y17 R17 L17 N17 P17"/>
    <dataValidation allowBlank="1" showInputMessage="1" showErrorMessage="1" promptTitle="材料グレード" prompt="材料グレードを入力して下さい_x000a_(例)_x000a_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_x000a_(例)_x000a_X30854-0001：ザイロン　X30814-0002：2ケ取り、_x000a_カラー圧入_x000a_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_x000a_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_x000a_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_x000a_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_x000a_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_x000a_「支給」…矢崎支給_x000a_「自家」…自家調達_x000a_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mdSend">
                <anchor moveWithCells="1" siz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11</xdr:col>
                    <xdr:colOff>9525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7" t="s">
        <v>309</v>
      </c>
      <c r="C2" s="757"/>
      <c r="D2" s="757"/>
    </row>
    <row r="3" spans="2:4" ht="18.75" customHeight="1">
      <c r="B3" s="453" t="s">
        <v>310</v>
      </c>
      <c r="C3" s="453" t="s">
        <v>311</v>
      </c>
      <c r="D3" s="453" t="s">
        <v>312</v>
      </c>
    </row>
    <row r="4" spans="2:4" ht="15">
      <c r="B4" s="456" t="s">
        <v>313</v>
      </c>
      <c r="C4" s="457" t="s">
        <v>412</v>
      </c>
      <c r="D4" s="458" t="s">
        <v>314</v>
      </c>
    </row>
    <row r="5" spans="2:4" ht="15">
      <c r="B5" s="456" t="s">
        <v>315</v>
      </c>
      <c r="C5" s="457" t="s">
        <v>411</v>
      </c>
      <c r="D5" s="458" t="s">
        <v>316</v>
      </c>
    </row>
    <row r="6" spans="2:4" ht="15">
      <c r="B6" s="456" t="s">
        <v>317</v>
      </c>
      <c r="C6" s="457" t="s">
        <v>413</v>
      </c>
      <c r="D6" s="458" t="s">
        <v>414</v>
      </c>
    </row>
    <row r="7" spans="2:4" ht="15">
      <c r="B7" s="456" t="s">
        <v>318</v>
      </c>
      <c r="C7" s="457" t="s">
        <v>412</v>
      </c>
      <c r="D7" s="458" t="s">
        <v>319</v>
      </c>
    </row>
    <row r="8" spans="2:4" ht="15">
      <c r="B8" s="456" t="s">
        <v>321</v>
      </c>
      <c r="C8" s="457" t="s">
        <v>415</v>
      </c>
      <c r="D8" s="458"/>
    </row>
    <row r="9" spans="2:4" ht="15">
      <c r="B9" s="456" t="s">
        <v>322</v>
      </c>
      <c r="C9" s="457"/>
      <c r="D9" s="458"/>
    </row>
    <row r="10" spans="2:4" ht="15">
      <c r="B10" s="456" t="s">
        <v>323</v>
      </c>
      <c r="C10" s="457" t="s">
        <v>436</v>
      </c>
      <c r="D10" s="458" t="s">
        <v>417</v>
      </c>
    </row>
    <row r="11" spans="2:4" ht="15">
      <c r="B11" s="456" t="s">
        <v>387</v>
      </c>
      <c r="C11" s="457" t="s">
        <v>418</v>
      </c>
      <c r="D11" s="458" t="s">
        <v>324</v>
      </c>
    </row>
    <row r="12" spans="2:4" ht="15">
      <c r="B12" s="456" t="s">
        <v>388</v>
      </c>
      <c r="C12" s="457" t="s">
        <v>437</v>
      </c>
      <c r="D12" s="458" t="s">
        <v>419</v>
      </c>
    </row>
    <row r="13" spans="2:4" ht="15">
      <c r="B13" s="456" t="s">
        <v>325</v>
      </c>
      <c r="C13" s="457"/>
      <c r="D13" s="458"/>
    </row>
    <row r="14" spans="2:4" ht="15">
      <c r="B14" s="456" t="s">
        <v>326</v>
      </c>
      <c r="C14" s="457"/>
      <c r="D14" s="458"/>
    </row>
    <row r="15" spans="2:4" ht="15">
      <c r="B15" s="456" t="s">
        <v>327</v>
      </c>
      <c r="C15" s="457"/>
      <c r="D15" s="458"/>
    </row>
    <row r="16" spans="2:4" ht="15">
      <c r="B16" s="456" t="s">
        <v>328</v>
      </c>
      <c r="C16" s="457"/>
      <c r="D16" s="458"/>
    </row>
    <row r="17" spans="2:4" ht="15">
      <c r="B17" s="456" t="s">
        <v>329</v>
      </c>
      <c r="C17" s="457"/>
      <c r="D17" s="458"/>
    </row>
    <row r="18" spans="2:4" ht="15">
      <c r="B18" s="456" t="s">
        <v>330</v>
      </c>
      <c r="C18" s="457"/>
      <c r="D18" s="458"/>
    </row>
    <row r="19" spans="2:4" ht="15">
      <c r="B19" s="456" t="s">
        <v>331</v>
      </c>
      <c r="C19" s="457"/>
      <c r="D19" s="458"/>
    </row>
    <row r="20" spans="2:4" ht="15">
      <c r="B20" s="456" t="s">
        <v>389</v>
      </c>
      <c r="C20" s="457"/>
      <c r="D20" s="458"/>
    </row>
    <row r="21" spans="2:4" ht="15">
      <c r="B21" s="456" t="s">
        <v>390</v>
      </c>
      <c r="C21" s="457"/>
      <c r="D21" s="458"/>
    </row>
    <row r="22" spans="2:4" ht="15">
      <c r="B22" s="456" t="s">
        <v>391</v>
      </c>
      <c r="C22" s="457"/>
      <c r="D22" s="458"/>
    </row>
    <row r="23" spans="2:4" ht="15">
      <c r="B23" s="456" t="s">
        <v>332</v>
      </c>
      <c r="C23" s="457"/>
      <c r="D23" s="458"/>
    </row>
    <row r="24" spans="2:4" ht="15">
      <c r="B24" s="456" t="s">
        <v>333</v>
      </c>
      <c r="C24" s="457"/>
      <c r="D24" s="458"/>
    </row>
    <row r="25" spans="2:4" ht="15">
      <c r="B25" s="456" t="s">
        <v>334</v>
      </c>
      <c r="C25" s="457"/>
      <c r="D25" s="458"/>
    </row>
    <row r="26" spans="2:4" ht="15">
      <c r="B26" s="456" t="s">
        <v>335</v>
      </c>
      <c r="C26" s="457"/>
      <c r="D26" s="458"/>
    </row>
    <row r="27" spans="2:4" ht="15">
      <c r="B27" s="456" t="s">
        <v>336</v>
      </c>
      <c r="C27" s="457" t="s">
        <v>438</v>
      </c>
      <c r="D27" s="458" t="s">
        <v>337</v>
      </c>
    </row>
    <row r="28" spans="2:4" ht="15">
      <c r="B28" s="456" t="s">
        <v>338</v>
      </c>
      <c r="C28" s="457" t="s">
        <v>439</v>
      </c>
      <c r="D28" s="458" t="s">
        <v>421</v>
      </c>
    </row>
    <row r="29" spans="2:4" ht="15">
      <c r="B29" s="456" t="s">
        <v>392</v>
      </c>
      <c r="C29" s="457" t="s">
        <v>440</v>
      </c>
      <c r="D29" s="458" t="s">
        <v>422</v>
      </c>
    </row>
    <row r="30" spans="2:4" ht="15">
      <c r="B30" s="456" t="s">
        <v>393</v>
      </c>
      <c r="C30" s="457"/>
      <c r="D30" s="458"/>
    </row>
    <row r="31" spans="2:4" ht="15">
      <c r="B31" s="456" t="s">
        <v>394</v>
      </c>
      <c r="C31" s="457"/>
      <c r="D31" s="458"/>
    </row>
    <row r="32" spans="2:4" ht="15">
      <c r="B32" s="456" t="s">
        <v>340</v>
      </c>
      <c r="C32" s="457"/>
      <c r="D32" s="458"/>
    </row>
    <row r="33" spans="2:4" ht="15">
      <c r="B33" s="456" t="s">
        <v>395</v>
      </c>
      <c r="C33" s="457"/>
      <c r="D33" s="458"/>
    </row>
    <row r="34" spans="2:4" ht="15">
      <c r="B34" s="456" t="s">
        <v>396</v>
      </c>
      <c r="C34" s="457"/>
      <c r="D34" s="458"/>
    </row>
    <row r="35" spans="2:4" ht="15">
      <c r="B35" s="456" t="s">
        <v>397</v>
      </c>
      <c r="C35" s="457"/>
      <c r="D35" s="458"/>
    </row>
    <row r="36" spans="2:4" ht="15">
      <c r="B36" s="456" t="s">
        <v>398</v>
      </c>
      <c r="C36" s="457"/>
      <c r="D36" s="458"/>
    </row>
    <row r="37" spans="2:4" ht="15">
      <c r="B37" s="456" t="s">
        <v>341</v>
      </c>
      <c r="C37" s="457"/>
      <c r="D37" s="458"/>
    </row>
    <row r="38" spans="2:4" ht="15">
      <c r="B38" s="456" t="s">
        <v>342</v>
      </c>
      <c r="C38" s="457"/>
      <c r="D38" s="458"/>
    </row>
    <row r="39" spans="2:4" ht="15">
      <c r="B39" s="456" t="s">
        <v>343</v>
      </c>
      <c r="C39" s="457"/>
      <c r="D39" s="458"/>
    </row>
    <row r="40" spans="2:4" ht="15">
      <c r="B40" s="456" t="s">
        <v>344</v>
      </c>
      <c r="C40" s="457"/>
      <c r="D40" s="458"/>
    </row>
    <row r="41" spans="2:4" ht="15">
      <c r="B41" s="456" t="s">
        <v>345</v>
      </c>
      <c r="C41" s="457"/>
      <c r="D41" s="458"/>
    </row>
    <row r="42" spans="2:4" ht="15">
      <c r="B42" s="456" t="s">
        <v>346</v>
      </c>
      <c r="C42" s="457"/>
      <c r="D42" s="458"/>
    </row>
    <row r="43" spans="2:4" ht="15">
      <c r="B43" s="456" t="s">
        <v>347</v>
      </c>
      <c r="C43" s="457"/>
      <c r="D43" s="458"/>
    </row>
    <row r="44" spans="2:4" ht="15">
      <c r="B44" s="456" t="s">
        <v>348</v>
      </c>
      <c r="C44" s="457"/>
      <c r="D44" s="458"/>
    </row>
    <row r="45" spans="2:4" ht="15">
      <c r="B45" s="456" t="s">
        <v>349</v>
      </c>
      <c r="C45" s="457"/>
      <c r="D45" s="458"/>
    </row>
    <row r="46" spans="2:4" ht="15">
      <c r="B46" s="456" t="s">
        <v>350</v>
      </c>
      <c r="C46" s="457"/>
      <c r="D46" s="458"/>
    </row>
    <row r="47" spans="2:4" ht="15">
      <c r="B47" s="456" t="s">
        <v>399</v>
      </c>
      <c r="C47" s="457"/>
      <c r="D47" s="458"/>
    </row>
    <row r="48" spans="2:4" ht="15">
      <c r="B48" s="456" t="s">
        <v>400</v>
      </c>
      <c r="C48" s="457"/>
      <c r="D48" s="458"/>
    </row>
    <row r="49" spans="2:4" ht="15">
      <c r="B49" s="456" t="s">
        <v>401</v>
      </c>
      <c r="C49" s="457"/>
      <c r="D49" s="458"/>
    </row>
    <row r="50" spans="2:4" ht="15">
      <c r="B50" s="456" t="s">
        <v>402</v>
      </c>
      <c r="C50" s="457"/>
      <c r="D50" s="458"/>
    </row>
    <row r="51" spans="2:4" ht="15">
      <c r="B51" s="456" t="s">
        <v>403</v>
      </c>
      <c r="C51" s="457"/>
      <c r="D51" s="458"/>
    </row>
    <row r="52" spans="2:4" ht="15">
      <c r="B52" s="456" t="s">
        <v>404</v>
      </c>
      <c r="C52" s="457"/>
      <c r="D52" s="458"/>
    </row>
    <row r="53" spans="2:4" ht="15">
      <c r="B53" s="456" t="s">
        <v>405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7" t="s">
        <v>423</v>
      </c>
      <c r="C2" s="757"/>
      <c r="D2" s="757"/>
      <c r="F2" s="757" t="s">
        <v>351</v>
      </c>
      <c r="G2" s="757"/>
      <c r="H2" s="757"/>
      <c r="J2" s="757" t="s">
        <v>352</v>
      </c>
      <c r="K2" s="757"/>
      <c r="L2" s="757"/>
    </row>
    <row r="3" spans="2:12" ht="18.75" customHeight="1">
      <c r="B3" s="453" t="s">
        <v>424</v>
      </c>
      <c r="C3" s="453" t="s">
        <v>311</v>
      </c>
      <c r="D3" s="453" t="s">
        <v>354</v>
      </c>
      <c r="F3" s="453" t="s">
        <v>353</v>
      </c>
      <c r="G3" s="453" t="s">
        <v>311</v>
      </c>
      <c r="H3" s="453" t="s">
        <v>354</v>
      </c>
      <c r="J3" s="453" t="s">
        <v>355</v>
      </c>
      <c r="K3" s="453" t="s">
        <v>311</v>
      </c>
      <c r="L3" s="453" t="s">
        <v>354</v>
      </c>
    </row>
    <row r="4" spans="2:12" ht="15">
      <c r="B4" s="456" t="s">
        <v>313</v>
      </c>
      <c r="C4" s="457" t="s">
        <v>412</v>
      </c>
      <c r="D4" s="458" t="s">
        <v>314</v>
      </c>
      <c r="F4" s="456" t="s">
        <v>313</v>
      </c>
      <c r="G4" s="457" t="s">
        <v>412</v>
      </c>
      <c r="H4" s="458" t="s">
        <v>314</v>
      </c>
      <c r="J4" s="456" t="s">
        <v>313</v>
      </c>
      <c r="K4" s="457" t="s">
        <v>412</v>
      </c>
      <c r="L4" s="458" t="s">
        <v>314</v>
      </c>
    </row>
    <row r="5" spans="2:12" ht="15">
      <c r="B5" s="456" t="s">
        <v>315</v>
      </c>
      <c r="C5" s="457" t="s">
        <v>411</v>
      </c>
      <c r="D5" s="458" t="s">
        <v>316</v>
      </c>
      <c r="F5" s="456" t="s">
        <v>315</v>
      </c>
      <c r="G5" s="457" t="s">
        <v>411</v>
      </c>
      <c r="H5" s="458" t="s">
        <v>316</v>
      </c>
      <c r="J5" s="456" t="s">
        <v>315</v>
      </c>
      <c r="K5" s="457" t="s">
        <v>411</v>
      </c>
      <c r="L5" s="458" t="s">
        <v>316</v>
      </c>
    </row>
    <row r="6" spans="2:12" ht="15">
      <c r="B6" s="456" t="s">
        <v>317</v>
      </c>
      <c r="C6" s="457" t="s">
        <v>413</v>
      </c>
      <c r="D6" s="458" t="s">
        <v>414</v>
      </c>
      <c r="F6" s="456" t="s">
        <v>317</v>
      </c>
      <c r="G6" s="457" t="s">
        <v>413</v>
      </c>
      <c r="H6" s="458" t="s">
        <v>414</v>
      </c>
      <c r="J6" s="456" t="s">
        <v>317</v>
      </c>
      <c r="K6" s="457" t="s">
        <v>413</v>
      </c>
      <c r="L6" s="458" t="s">
        <v>414</v>
      </c>
    </row>
    <row r="7" spans="2:12" ht="15">
      <c r="B7" s="456" t="s">
        <v>356</v>
      </c>
      <c r="C7" s="457" t="s">
        <v>441</v>
      </c>
      <c r="D7" s="458"/>
      <c r="F7" s="456" t="s">
        <v>356</v>
      </c>
      <c r="G7" s="457" t="s">
        <v>447</v>
      </c>
      <c r="H7" s="458"/>
      <c r="J7" s="456" t="s">
        <v>357</v>
      </c>
      <c r="K7" s="457" t="s">
        <v>432</v>
      </c>
      <c r="L7" s="458" t="s">
        <v>358</v>
      </c>
    </row>
    <row r="8" spans="2:12" ht="15">
      <c r="B8" s="456" t="s">
        <v>320</v>
      </c>
      <c r="C8" s="457" t="s">
        <v>442</v>
      </c>
      <c r="D8" s="458" t="s">
        <v>314</v>
      </c>
      <c r="F8" s="456" t="s">
        <v>359</v>
      </c>
      <c r="G8" s="457" t="s">
        <v>448</v>
      </c>
      <c r="H8" s="458" t="s">
        <v>429</v>
      </c>
      <c r="J8" s="456" t="s">
        <v>360</v>
      </c>
      <c r="K8" s="457" t="s">
        <v>454</v>
      </c>
      <c r="L8" s="458" t="s">
        <v>358</v>
      </c>
    </row>
    <row r="9" spans="2:12" ht="15">
      <c r="B9" s="456" t="s">
        <v>425</v>
      </c>
      <c r="C9" s="457"/>
      <c r="D9" s="458" t="s">
        <v>443</v>
      </c>
      <c r="F9" s="456" t="s">
        <v>362</v>
      </c>
      <c r="G9" s="457"/>
      <c r="H9" s="458" t="s">
        <v>449</v>
      </c>
      <c r="J9" s="456" t="s">
        <v>363</v>
      </c>
      <c r="K9" s="457" t="s">
        <v>433</v>
      </c>
      <c r="L9" s="458" t="s">
        <v>118</v>
      </c>
    </row>
    <row r="10" spans="2:12" ht="15">
      <c r="B10" s="456" t="s">
        <v>426</v>
      </c>
      <c r="C10" s="457" t="s">
        <v>444</v>
      </c>
      <c r="D10" s="458" t="s">
        <v>428</v>
      </c>
      <c r="F10" s="456" t="s">
        <v>364</v>
      </c>
      <c r="G10" s="457"/>
      <c r="H10" s="458" t="s">
        <v>449</v>
      </c>
      <c r="J10" s="456" t="s">
        <v>365</v>
      </c>
      <c r="K10" s="457" t="s">
        <v>420</v>
      </c>
      <c r="L10" s="458" t="s">
        <v>118</v>
      </c>
    </row>
    <row r="11" spans="2:12" ht="15">
      <c r="B11" s="456" t="s">
        <v>378</v>
      </c>
      <c r="C11" s="457" t="s">
        <v>445</v>
      </c>
      <c r="D11" s="458" t="s">
        <v>164</v>
      </c>
      <c r="F11" s="456" t="s">
        <v>367</v>
      </c>
      <c r="G11" s="457" t="s">
        <v>450</v>
      </c>
      <c r="H11" s="458" t="s">
        <v>430</v>
      </c>
      <c r="J11" s="456" t="s">
        <v>368</v>
      </c>
      <c r="K11" s="457" t="s">
        <v>434</v>
      </c>
      <c r="L11" s="458" t="s">
        <v>369</v>
      </c>
    </row>
    <row r="12" spans="2:12" ht="15">
      <c r="B12" s="456" t="s">
        <v>427</v>
      </c>
      <c r="C12" s="457" t="s">
        <v>446</v>
      </c>
      <c r="D12" s="458" t="s">
        <v>373</v>
      </c>
      <c r="F12" s="456" t="s">
        <v>370</v>
      </c>
      <c r="G12" s="457" t="s">
        <v>451</v>
      </c>
      <c r="H12" s="458" t="s">
        <v>431</v>
      </c>
      <c r="J12" s="456" t="s">
        <v>371</v>
      </c>
      <c r="K12" s="457" t="s">
        <v>455</v>
      </c>
      <c r="L12" s="458" t="s">
        <v>369</v>
      </c>
    </row>
    <row r="13" spans="2:12" ht="15">
      <c r="B13" s="456" t="s">
        <v>375</v>
      </c>
      <c r="C13" s="457"/>
      <c r="D13" s="458"/>
      <c r="F13" s="456" t="s">
        <v>372</v>
      </c>
      <c r="G13" s="457" t="s">
        <v>452</v>
      </c>
      <c r="H13" s="458" t="s">
        <v>373</v>
      </c>
      <c r="J13" s="456" t="s">
        <v>374</v>
      </c>
      <c r="K13" s="457" t="s">
        <v>456</v>
      </c>
      <c r="L13" s="458"/>
    </row>
    <row r="14" spans="2:12" ht="15">
      <c r="B14" s="456" t="s">
        <v>377</v>
      </c>
      <c r="C14" s="457"/>
      <c r="D14" s="458"/>
      <c r="F14" s="456" t="s">
        <v>375</v>
      </c>
      <c r="G14" s="457"/>
      <c r="H14" s="458"/>
      <c r="J14" s="456" t="s">
        <v>376</v>
      </c>
      <c r="K14" s="457" t="s">
        <v>457</v>
      </c>
      <c r="L14" s="458"/>
    </row>
    <row r="15" spans="2:12" ht="15">
      <c r="B15" s="459" t="s">
        <v>379</v>
      </c>
      <c r="C15" s="465"/>
      <c r="D15" s="460"/>
      <c r="F15" s="456" t="s">
        <v>377</v>
      </c>
      <c r="G15" s="457"/>
      <c r="H15" s="458"/>
      <c r="J15" s="456" t="s">
        <v>375</v>
      </c>
      <c r="K15" s="457"/>
      <c r="L15" s="458"/>
    </row>
    <row r="16" spans="2:12" ht="15">
      <c r="B16" s="463"/>
      <c r="C16" s="466"/>
      <c r="D16" s="464"/>
      <c r="F16" s="456" t="s">
        <v>379</v>
      </c>
      <c r="G16" s="457"/>
      <c r="H16" s="458"/>
      <c r="J16" s="456" t="s">
        <v>377</v>
      </c>
      <c r="K16" s="457"/>
      <c r="L16" s="458"/>
    </row>
    <row r="17" spans="2:12" ht="15">
      <c r="B17" s="461"/>
      <c r="C17" s="467"/>
      <c r="D17" s="462"/>
      <c r="J17" s="456" t="s">
        <v>379</v>
      </c>
      <c r="K17" s="457"/>
      <c r="L17" s="458"/>
    </row>
    <row r="18" spans="2:12">
      <c r="B18" s="454"/>
      <c r="C18" s="152"/>
      <c r="D18" s="455"/>
    </row>
    <row r="19" spans="2:12">
      <c r="B19" s="757" t="s">
        <v>406</v>
      </c>
      <c r="C19" s="757"/>
      <c r="D19" s="757"/>
      <c r="F19" s="757" t="s">
        <v>470</v>
      </c>
      <c r="G19" s="757"/>
      <c r="H19" s="757"/>
    </row>
    <row r="20" spans="2:12" ht="18.75" customHeight="1">
      <c r="B20" s="453" t="s">
        <v>416</v>
      </c>
      <c r="C20" s="453" t="s">
        <v>311</v>
      </c>
      <c r="D20" s="453" t="s">
        <v>354</v>
      </c>
      <c r="F20" s="453" t="s">
        <v>471</v>
      </c>
      <c r="G20" s="453" t="s">
        <v>311</v>
      </c>
      <c r="H20" s="453" t="s">
        <v>354</v>
      </c>
    </row>
    <row r="21" spans="2:12" ht="15">
      <c r="B21" s="456" t="s">
        <v>313</v>
      </c>
      <c r="C21" s="457" t="s">
        <v>412</v>
      </c>
      <c r="D21" s="458" t="s">
        <v>314</v>
      </c>
      <c r="F21" s="456" t="s">
        <v>313</v>
      </c>
      <c r="G21" s="457" t="s">
        <v>412</v>
      </c>
      <c r="H21" s="458" t="s">
        <v>314</v>
      </c>
    </row>
    <row r="22" spans="2:12" ht="15">
      <c r="B22" s="456" t="s">
        <v>315</v>
      </c>
      <c r="C22" s="457" t="s">
        <v>411</v>
      </c>
      <c r="D22" s="458" t="s">
        <v>316</v>
      </c>
      <c r="F22" s="456" t="s">
        <v>315</v>
      </c>
      <c r="G22" s="457" t="s">
        <v>411</v>
      </c>
      <c r="H22" s="458" t="s">
        <v>316</v>
      </c>
    </row>
    <row r="23" spans="2:12" ht="15">
      <c r="B23" s="456" t="s">
        <v>317</v>
      </c>
      <c r="C23" s="457" t="s">
        <v>413</v>
      </c>
      <c r="D23" s="458" t="s">
        <v>414</v>
      </c>
      <c r="F23" s="456" t="s">
        <v>317</v>
      </c>
      <c r="G23" s="457" t="s">
        <v>413</v>
      </c>
      <c r="H23" s="458" t="s">
        <v>414</v>
      </c>
    </row>
    <row r="24" spans="2:12" ht="15">
      <c r="B24" s="456" t="s">
        <v>356</v>
      </c>
      <c r="C24" s="457" t="s">
        <v>458</v>
      </c>
      <c r="D24" s="458"/>
      <c r="F24" s="456" t="s">
        <v>356</v>
      </c>
      <c r="G24" s="457"/>
      <c r="H24" s="458"/>
    </row>
    <row r="25" spans="2:12" ht="15">
      <c r="B25" s="456" t="s">
        <v>407</v>
      </c>
      <c r="C25" s="457"/>
      <c r="D25" s="458" t="s">
        <v>459</v>
      </c>
      <c r="F25" s="456" t="s">
        <v>472</v>
      </c>
      <c r="G25" s="457" t="s">
        <v>474</v>
      </c>
      <c r="H25" s="458"/>
    </row>
    <row r="26" spans="2:12" ht="15">
      <c r="B26" s="456" t="s">
        <v>361</v>
      </c>
      <c r="C26" s="457" t="s">
        <v>460</v>
      </c>
      <c r="D26" s="458"/>
      <c r="F26" s="456" t="s">
        <v>473</v>
      </c>
      <c r="G26" s="457" t="s">
        <v>476</v>
      </c>
      <c r="H26" s="458"/>
    </row>
    <row r="27" spans="2:12" ht="15">
      <c r="B27" s="456" t="s">
        <v>257</v>
      </c>
      <c r="C27" s="457"/>
      <c r="D27" s="458" t="s">
        <v>459</v>
      </c>
      <c r="F27" s="456" t="s">
        <v>378</v>
      </c>
      <c r="G27" s="457" t="s">
        <v>477</v>
      </c>
      <c r="H27" s="458"/>
    </row>
    <row r="28" spans="2:12" ht="15">
      <c r="B28" s="456" t="s">
        <v>366</v>
      </c>
      <c r="C28" s="457"/>
      <c r="D28" s="458" t="s">
        <v>461</v>
      </c>
      <c r="F28" s="456" t="s">
        <v>426</v>
      </c>
      <c r="G28" s="457" t="s">
        <v>475</v>
      </c>
      <c r="H28" s="458"/>
    </row>
    <row r="29" spans="2:12" ht="15">
      <c r="B29" s="456" t="s">
        <v>380</v>
      </c>
      <c r="C29" s="457"/>
      <c r="D29" s="458" t="s">
        <v>449</v>
      </c>
      <c r="F29" s="456" t="s">
        <v>214</v>
      </c>
      <c r="G29" s="457" t="s">
        <v>440</v>
      </c>
      <c r="H29" s="458"/>
    </row>
    <row r="30" spans="2:12" ht="15">
      <c r="B30" s="456" t="s">
        <v>362</v>
      </c>
      <c r="C30" s="457"/>
      <c r="D30" s="458" t="s">
        <v>449</v>
      </c>
      <c r="F30" s="456" t="s">
        <v>375</v>
      </c>
      <c r="G30" s="457"/>
      <c r="H30" s="458"/>
    </row>
    <row r="31" spans="2:12" ht="15">
      <c r="B31" s="456" t="s">
        <v>381</v>
      </c>
      <c r="C31" s="457" t="s">
        <v>456</v>
      </c>
      <c r="D31" s="458"/>
      <c r="F31" s="456" t="s">
        <v>377</v>
      </c>
      <c r="G31" s="457"/>
      <c r="H31" s="458"/>
    </row>
    <row r="32" spans="2:12" ht="15">
      <c r="B32" s="456" t="s">
        <v>382</v>
      </c>
      <c r="C32" s="457" t="s">
        <v>462</v>
      </c>
      <c r="D32" s="458"/>
      <c r="F32" s="459" t="s">
        <v>379</v>
      </c>
      <c r="G32" s="465"/>
      <c r="H32" s="460"/>
    </row>
    <row r="33" spans="2:8" ht="15">
      <c r="B33" s="456" t="s">
        <v>408</v>
      </c>
      <c r="C33" s="457"/>
      <c r="D33" s="458" t="s">
        <v>463</v>
      </c>
      <c r="F33" s="463"/>
      <c r="G33" s="466"/>
      <c r="H33" s="464"/>
    </row>
    <row r="34" spans="2:8" ht="15">
      <c r="B34" s="456" t="s">
        <v>409</v>
      </c>
      <c r="C34" s="457" t="s">
        <v>464</v>
      </c>
      <c r="D34" s="458"/>
    </row>
    <row r="35" spans="2:8" ht="15">
      <c r="B35" s="456" t="s">
        <v>383</v>
      </c>
      <c r="C35" s="457" t="s">
        <v>465</v>
      </c>
      <c r="D35" s="458"/>
    </row>
    <row r="36" spans="2:8" ht="15">
      <c r="B36" s="456" t="s">
        <v>410</v>
      </c>
      <c r="C36" s="457" t="s">
        <v>465</v>
      </c>
      <c r="D36" s="458"/>
    </row>
    <row r="37" spans="2:8" ht="15">
      <c r="B37" s="456" t="s">
        <v>384</v>
      </c>
      <c r="C37" s="457"/>
      <c r="D37" s="458" t="s">
        <v>466</v>
      </c>
    </row>
    <row r="38" spans="2:8" ht="15">
      <c r="B38" s="456" t="s">
        <v>385</v>
      </c>
      <c r="C38" s="457" t="s">
        <v>467</v>
      </c>
      <c r="D38" s="458"/>
    </row>
    <row r="39" spans="2:8" ht="15">
      <c r="B39" s="456" t="s">
        <v>386</v>
      </c>
      <c r="C39" s="457" t="s">
        <v>468</v>
      </c>
      <c r="D39" s="458"/>
    </row>
    <row r="40" spans="2:8" ht="15">
      <c r="B40" s="456" t="s">
        <v>339</v>
      </c>
      <c r="C40" s="457" t="s">
        <v>469</v>
      </c>
      <c r="D40" s="458"/>
    </row>
    <row r="41" spans="2:8" ht="15">
      <c r="B41" s="456" t="s">
        <v>375</v>
      </c>
      <c r="C41" s="457"/>
      <c r="D41" s="458"/>
    </row>
    <row r="42" spans="2:8" ht="15">
      <c r="B42" s="456" t="s">
        <v>377</v>
      </c>
      <c r="C42" s="457"/>
      <c r="D42" s="458"/>
    </row>
    <row r="43" spans="2:8" ht="15">
      <c r="B43" s="456" t="s">
        <v>379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2015-09-25T04:16:55Z</dcterms:created>
  <dcterms:modified xsi:type="dcterms:W3CDTF">2015-11-05T07:03:44Z</dcterms:modified>
</cp:coreProperties>
</file>