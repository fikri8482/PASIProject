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ASI EBWEB\01. TEMPLATE EXCEL\"/>
    </mc:Choice>
  </mc:AlternateContent>
  <bookViews>
    <workbookView xWindow="3780" yWindow="330" windowWidth="4200" windowHeight="7770"/>
  </bookViews>
  <sheets>
    <sheet name="Single part" sheetId="1" r:id="rId1"/>
    <sheet name="Header" sheetId="2" r:id="rId2"/>
    <sheet name="Detail" sheetId="3" r:id="rId3"/>
  </sheets>
  <definedNames>
    <definedName name="_xlnm.Print_Area" localSheetId="0">'Single part'!$A$1:$L$108</definedName>
  </definedNames>
  <calcPr calcId="152511"/>
</workbook>
</file>

<file path=xl/calcChain.xml><?xml version="1.0" encoding="utf-8"?>
<calcChain xmlns="http://schemas.openxmlformats.org/spreadsheetml/2006/main">
  <c r="K27" i="1" l="1"/>
  <c r="K30" i="1" s="1"/>
  <c r="K34" i="1"/>
  <c r="K37" i="1"/>
  <c r="K40" i="1"/>
  <c r="K43" i="1"/>
  <c r="K46" i="1"/>
  <c r="K49" i="1"/>
  <c r="K52" i="1"/>
  <c r="K55" i="1"/>
  <c r="K93" i="1"/>
  <c r="K73" i="1"/>
  <c r="I27" i="1"/>
  <c r="I30" i="1" s="1"/>
  <c r="I34" i="1"/>
  <c r="I37" i="1"/>
  <c r="I40" i="1"/>
  <c r="I43" i="1"/>
  <c r="I46" i="1"/>
  <c r="I49" i="1"/>
  <c r="I52" i="1"/>
  <c r="I55" i="1"/>
  <c r="I93" i="1"/>
  <c r="I73" i="1"/>
  <c r="G27" i="1"/>
  <c r="G30" i="1" s="1"/>
  <c r="H57" i="1" s="1"/>
  <c r="G34" i="1"/>
  <c r="G37" i="1"/>
  <c r="G40" i="1"/>
  <c r="G43" i="1"/>
  <c r="G46" i="1"/>
  <c r="G49" i="1"/>
  <c r="G52" i="1"/>
  <c r="G55" i="1"/>
  <c r="G92" i="1"/>
  <c r="G93" i="1" s="1"/>
  <c r="G73" i="1"/>
  <c r="E34" i="1"/>
  <c r="E40" i="1"/>
  <c r="E43" i="1"/>
  <c r="E46" i="1"/>
  <c r="E49" i="1"/>
  <c r="E52" i="1"/>
  <c r="E55" i="1"/>
  <c r="E92" i="1"/>
  <c r="E93" i="1" s="1"/>
  <c r="E73" i="1"/>
  <c r="D103" i="1"/>
  <c r="K101" i="1"/>
  <c r="I101" i="1"/>
  <c r="D101" i="1"/>
  <c r="D100" i="1"/>
  <c r="D99" i="1"/>
  <c r="D98" i="1"/>
  <c r="D97" i="1"/>
  <c r="D96" i="1"/>
  <c r="D95" i="1"/>
  <c r="D94" i="1"/>
  <c r="D93" i="1"/>
  <c r="K92" i="1"/>
  <c r="I92" i="1"/>
  <c r="G76" i="1"/>
  <c r="D75" i="1"/>
  <c r="D74" i="1"/>
  <c r="D60" i="1"/>
  <c r="D59" i="1"/>
  <c r="D58" i="1"/>
  <c r="D57" i="1"/>
  <c r="L56" i="1"/>
  <c r="J56" i="1"/>
  <c r="H56" i="1"/>
  <c r="F56" i="1"/>
  <c r="D56" i="1"/>
  <c r="D55" i="1"/>
  <c r="D52" i="1"/>
  <c r="D49" i="1"/>
  <c r="D46" i="1"/>
  <c r="D43" i="1"/>
  <c r="D40" i="1"/>
  <c r="D37" i="1"/>
  <c r="D34" i="1"/>
  <c r="D30" i="1"/>
  <c r="D29" i="1"/>
  <c r="D28" i="1"/>
  <c r="I56" i="1" l="1"/>
  <c r="J58" i="1" s="1"/>
  <c r="G56" i="1"/>
  <c r="H59" i="1" s="1"/>
  <c r="K56" i="1"/>
  <c r="L58" i="1" s="1"/>
  <c r="L57" i="1"/>
  <c r="H58" i="1"/>
  <c r="J57" i="1"/>
  <c r="I60" i="1" l="1"/>
  <c r="I95" i="1" s="1"/>
  <c r="I100" i="1" s="1"/>
  <c r="I103" i="1" s="1"/>
  <c r="K60" i="1"/>
  <c r="K95" i="1" s="1"/>
  <c r="K100" i="1" s="1"/>
  <c r="K103" i="1" s="1"/>
  <c r="G60" i="1"/>
  <c r="G95" i="1" s="1"/>
  <c r="G100" i="1" s="1"/>
  <c r="G103" i="1" s="1"/>
  <c r="E60" i="1"/>
  <c r="E95" i="1" s="1"/>
  <c r="E100" i="1" s="1"/>
  <c r="E103" i="1" s="1"/>
</calcChain>
</file>

<file path=xl/comments1.xml><?xml version="1.0" encoding="utf-8"?>
<comments xmlns="http://schemas.openxmlformats.org/spreadsheetml/2006/main">
  <authors>
    <author>systemadmin</author>
    <author>Rahmat Hidayat</author>
    <author>Joko Susilo</author>
  </authors>
  <commentList>
    <comment ref="D27" authorId="0" shapeId="0">
      <text>
        <r>
          <rPr>
            <b/>
            <sz val="14"/>
            <color indexed="81"/>
            <rFont val="ＭＳ Ｐゴシック"/>
            <family val="3"/>
            <charset val="128"/>
          </rPr>
          <t>Select "Currency"</t>
        </r>
      </text>
    </comment>
    <comment ref="F62" authorId="1" shapeId="0">
      <text>
        <r>
          <rPr>
            <sz val="9"/>
            <color indexed="81"/>
            <rFont val="Tahoma"/>
            <family val="2"/>
          </rPr>
          <t xml:space="preserve">QTY/BOX
</t>
        </r>
      </text>
    </comment>
    <comment ref="H62" authorId="1" shapeId="0">
      <text>
        <r>
          <rPr>
            <sz val="9"/>
            <color indexed="81"/>
            <rFont val="Tahoma"/>
            <family val="2"/>
          </rPr>
          <t xml:space="preserve">QTY/BOX
</t>
        </r>
      </text>
    </comment>
    <comment ref="E73" authorId="2" shapeId="0">
      <text>
        <r>
          <rPr>
            <b/>
            <sz val="9"/>
            <color indexed="81"/>
            <rFont val="Tahoma"/>
            <family val="2"/>
          </rPr>
          <t>PACKING CARTON BOX</t>
        </r>
      </text>
    </comment>
    <comment ref="G73" authorId="2" shapeId="0">
      <text>
        <r>
          <rPr>
            <b/>
            <sz val="9"/>
            <color indexed="81"/>
            <rFont val="Tahoma"/>
            <family val="2"/>
          </rPr>
          <t>PACKING RETURNABLE BOX</t>
        </r>
      </text>
    </comment>
  </commentList>
</comments>
</file>

<file path=xl/sharedStrings.xml><?xml version="1.0" encoding="utf-8"?>
<sst xmlns="http://schemas.openxmlformats.org/spreadsheetml/2006/main" count="665" uniqueCount="504">
  <si>
    <t>●プルダウンリスト●　海外生産・単品</t>
    <rPh sb="11" eb="13">
      <t>カイガイ</t>
    </rPh>
    <rPh sb="13" eb="15">
      <t>セイサン</t>
    </rPh>
    <rPh sb="16" eb="18">
      <t>タンピン</t>
    </rPh>
    <phoneticPr fontId="0"/>
  </si>
  <si>
    <t>納入先</t>
    <rPh sb="0" eb="3">
      <t>ノウニュウサキ</t>
    </rPh>
    <phoneticPr fontId="0"/>
  </si>
  <si>
    <t>試作</t>
    <rPh sb="0" eb="2">
      <t>シサク</t>
    </rPh>
    <phoneticPr fontId="0"/>
  </si>
  <si>
    <t>色</t>
    <rPh sb="0" eb="1">
      <t>イロ</t>
    </rPh>
    <phoneticPr fontId="0"/>
  </si>
  <si>
    <t>通貨</t>
    <rPh sb="0" eb="2">
      <t>ツウカ</t>
    </rPh>
    <phoneticPr fontId="0"/>
  </si>
  <si>
    <t>償却方法</t>
    <rPh sb="0" eb="2">
      <t>ショウキャク</t>
    </rPh>
    <rPh sb="2" eb="4">
      <t>ホウホウ</t>
    </rPh>
    <phoneticPr fontId="0"/>
  </si>
  <si>
    <t>項目</t>
    <rPh sb="0" eb="2">
      <t>コウモク</t>
    </rPh>
    <phoneticPr fontId="0"/>
  </si>
  <si>
    <t>共用型</t>
    <rPh sb="0" eb="2">
      <t>キョウヨウ</t>
    </rPh>
    <rPh sb="2" eb="3">
      <t>カタ</t>
    </rPh>
    <phoneticPr fontId="0"/>
  </si>
  <si>
    <t>型仕様</t>
    <rPh sb="0" eb="1">
      <t>カタ</t>
    </rPh>
    <rPh sb="1" eb="3">
      <t>シヨウ</t>
    </rPh>
    <phoneticPr fontId="0"/>
  </si>
  <si>
    <t>型起工国</t>
    <rPh sb="0" eb="1">
      <t>カタ</t>
    </rPh>
    <rPh sb="1" eb="3">
      <t>キコウ</t>
    </rPh>
    <rPh sb="3" eb="4">
      <t>コク</t>
    </rPh>
    <phoneticPr fontId="0"/>
  </si>
  <si>
    <t>取引条件</t>
    <rPh sb="0" eb="2">
      <t>トリヒキ</t>
    </rPh>
    <rPh sb="2" eb="4">
      <t>ジョウケン</t>
    </rPh>
    <phoneticPr fontId="0"/>
  </si>
  <si>
    <t>港</t>
    <rPh sb="0" eb="1">
      <t>ミナト</t>
    </rPh>
    <phoneticPr fontId="0"/>
  </si>
  <si>
    <t>増値税</t>
    <rPh sb="0" eb="1">
      <t>ゾウ</t>
    </rPh>
    <rPh sb="1" eb="2">
      <t>チ</t>
    </rPh>
    <rPh sb="2" eb="3">
      <t>ゼイ</t>
    </rPh>
    <phoneticPr fontId="0"/>
  </si>
  <si>
    <t>SUP NAME：</t>
    <phoneticPr fontId="0"/>
  </si>
  <si>
    <t>AAPL</t>
  </si>
  <si>
    <t>個/試作(ｎ)</t>
    <rPh sb="0" eb="1">
      <t>コ</t>
    </rPh>
    <rPh sb="2" eb="4">
      <t>シサク</t>
    </rPh>
    <phoneticPr fontId="0"/>
  </si>
  <si>
    <t>支給</t>
    <rPh sb="0" eb="2">
      <t>シキュウ</t>
    </rPh>
    <phoneticPr fontId="0"/>
  </si>
  <si>
    <t>NATURAL</t>
    <phoneticPr fontId="0"/>
  </si>
  <si>
    <t>USD:</t>
    <phoneticPr fontId="0"/>
  </si>
  <si>
    <t>Non-amort</t>
    <phoneticPr fontId="0"/>
  </si>
  <si>
    <r>
      <t>N</t>
    </r>
    <r>
      <rPr>
        <sz val="11"/>
        <rFont val="ＭＳ Ｐゴシック"/>
        <family val="3"/>
        <charset val="128"/>
      </rPr>
      <t>EW</t>
    </r>
  </si>
  <si>
    <t>単型</t>
    <rPh sb="0" eb="1">
      <t>タン</t>
    </rPh>
    <rPh sb="1" eb="2">
      <t>ガタ</t>
    </rPh>
    <phoneticPr fontId="0"/>
  </si>
  <si>
    <t>JAPAN</t>
    <phoneticPr fontId="0"/>
  </si>
  <si>
    <t>FOB</t>
    <phoneticPr fontId="0"/>
  </si>
  <si>
    <t>烟台</t>
    <rPh sb="0" eb="2">
      <t>エンタイ</t>
    </rPh>
    <phoneticPr fontId="0"/>
  </si>
  <si>
    <t>VAT</t>
    <phoneticPr fontId="0"/>
  </si>
  <si>
    <t>APPROVAL</t>
    <phoneticPr fontId="0"/>
  </si>
  <si>
    <t>AOB</t>
  </si>
  <si>
    <t>自家</t>
    <rPh sb="0" eb="2">
      <t>ジカ</t>
    </rPh>
    <phoneticPr fontId="0"/>
  </si>
  <si>
    <t>BLACK</t>
    <phoneticPr fontId="0"/>
  </si>
  <si>
    <t>EURO:</t>
    <phoneticPr fontId="0"/>
  </si>
  <si>
    <t>Amort /month</t>
    <phoneticPr fontId="0"/>
  </si>
  <si>
    <t>Modification</t>
  </si>
  <si>
    <t>順送型</t>
    <rPh sb="0" eb="1">
      <t>ジュン</t>
    </rPh>
    <rPh sb="1" eb="2">
      <t>ソウ</t>
    </rPh>
    <rPh sb="2" eb="3">
      <t>ガタ</t>
    </rPh>
    <phoneticPr fontId="0"/>
  </si>
  <si>
    <t>CHINA</t>
    <phoneticPr fontId="0"/>
  </si>
  <si>
    <t>FCA</t>
    <phoneticPr fontId="0"/>
  </si>
  <si>
    <t>天津</t>
    <rPh sb="0" eb="2">
      <t>テンシン</t>
    </rPh>
    <phoneticPr fontId="0"/>
  </si>
  <si>
    <t>CHECK</t>
    <phoneticPr fontId="0"/>
  </si>
  <si>
    <t>ARC</t>
  </si>
  <si>
    <t>GRAY</t>
  </si>
  <si>
    <t>RMB:</t>
    <phoneticPr fontId="0"/>
  </si>
  <si>
    <t>INJ</t>
    <phoneticPr fontId="0"/>
  </si>
  <si>
    <t>KOREA</t>
    <phoneticPr fontId="0"/>
  </si>
  <si>
    <t>CIF</t>
    <phoneticPr fontId="0"/>
  </si>
  <si>
    <t>汕頭</t>
    <rPh sb="0" eb="2">
      <t>シャントウ</t>
    </rPh>
    <phoneticPr fontId="0"/>
  </si>
  <si>
    <t>【Supplier　→　YAZAKI】</t>
    <phoneticPr fontId="0"/>
  </si>
  <si>
    <t>PREPARATION</t>
    <phoneticPr fontId="0"/>
  </si>
  <si>
    <t>PASI/PURC/WI04/F07:00</t>
  </si>
  <si>
    <t>CCC</t>
  </si>
  <si>
    <t>LIGHT GRAY</t>
    <phoneticPr fontId="0"/>
  </si>
  <si>
    <t>THB:</t>
    <phoneticPr fontId="0"/>
  </si>
  <si>
    <t>COMP</t>
    <phoneticPr fontId="0"/>
  </si>
  <si>
    <t>THAILAND</t>
    <phoneticPr fontId="0"/>
  </si>
  <si>
    <t>CIP</t>
    <phoneticPr fontId="0"/>
  </si>
  <si>
    <t>香港</t>
    <rPh sb="0" eb="2">
      <t>ホンコン</t>
    </rPh>
    <phoneticPr fontId="0"/>
  </si>
  <si>
    <t>CYM</t>
  </si>
  <si>
    <t>DARK GRAY</t>
    <phoneticPr fontId="0"/>
  </si>
  <si>
    <t>JPY</t>
    <phoneticPr fontId="0"/>
  </si>
  <si>
    <t>トムソン</t>
    <phoneticPr fontId="0"/>
  </si>
  <si>
    <t>VIETNAM</t>
    <phoneticPr fontId="0"/>
  </si>
  <si>
    <t>DDU</t>
    <phoneticPr fontId="0"/>
  </si>
  <si>
    <t>容奇港</t>
    <rPh sb="0" eb="1">
      <t>カタチ</t>
    </rPh>
    <rPh sb="1" eb="2">
      <t>キ</t>
    </rPh>
    <rPh sb="2" eb="3">
      <t>ミナト</t>
    </rPh>
    <phoneticPr fontId="0"/>
  </si>
  <si>
    <t>Ctrl. No.</t>
    <phoneticPr fontId="0"/>
  </si>
  <si>
    <t>KIH-12-EC-****</t>
    <phoneticPr fontId="0"/>
  </si>
  <si>
    <t>DIT</t>
  </si>
  <si>
    <t>RED</t>
  </si>
  <si>
    <t>IDR：</t>
    <phoneticPr fontId="0"/>
  </si>
  <si>
    <r>
      <t>I</t>
    </r>
    <r>
      <rPr>
        <sz val="11"/>
        <rFont val="ＭＳ Ｐゴシック"/>
        <family val="3"/>
        <charset val="128"/>
      </rPr>
      <t>NSERT</t>
    </r>
  </si>
  <si>
    <t>PHILIPPINES</t>
    <phoneticPr fontId="0"/>
  </si>
  <si>
    <t>DDI</t>
    <phoneticPr fontId="0"/>
  </si>
  <si>
    <t>高雄</t>
    <rPh sb="0" eb="2">
      <t>タカオ</t>
    </rPh>
    <phoneticPr fontId="0"/>
  </si>
  <si>
    <t>7184-****</t>
    <phoneticPr fontId="0"/>
  </si>
  <si>
    <t>ELCOM</t>
  </si>
  <si>
    <t>DARK RED</t>
    <phoneticPr fontId="0"/>
  </si>
  <si>
    <t>多色成形</t>
    <rPh sb="0" eb="2">
      <t>タショク</t>
    </rPh>
    <rPh sb="2" eb="4">
      <t>セイケイ</t>
    </rPh>
    <phoneticPr fontId="0"/>
  </si>
  <si>
    <t>INDONESIA</t>
  </si>
  <si>
    <t>DDP</t>
    <phoneticPr fontId="0"/>
  </si>
  <si>
    <t>杭州</t>
    <rPh sb="0" eb="1">
      <t>クイ</t>
    </rPh>
    <rPh sb="1" eb="2">
      <t>シュウ</t>
    </rPh>
    <phoneticPr fontId="0"/>
  </si>
  <si>
    <t>Part Name</t>
    <phoneticPr fontId="0"/>
  </si>
  <si>
    <t>PROTECTOR</t>
    <phoneticPr fontId="0"/>
  </si>
  <si>
    <t>EMI</t>
  </si>
  <si>
    <t>BROWN</t>
  </si>
  <si>
    <t>切削</t>
    <rPh sb="0" eb="2">
      <t>セッサク</t>
    </rPh>
    <phoneticPr fontId="0"/>
  </si>
  <si>
    <t>INDIA</t>
    <phoneticPr fontId="0"/>
  </si>
  <si>
    <t>厦門</t>
  </si>
  <si>
    <t>Delivery to</t>
    <phoneticPr fontId="0"/>
  </si>
  <si>
    <t>TAPC</t>
  </si>
  <si>
    <t>FSY</t>
  </si>
  <si>
    <t>BLUE</t>
  </si>
  <si>
    <t>鍛造</t>
    <rPh sb="0" eb="2">
      <t>タンゾウ</t>
    </rPh>
    <phoneticPr fontId="0"/>
  </si>
  <si>
    <t>AUSTRALIA</t>
  </si>
  <si>
    <t>Singapore</t>
  </si>
  <si>
    <t>Quotation Vol.</t>
    <phoneticPr fontId="0"/>
  </si>
  <si>
    <t>（each/month）</t>
    <phoneticPr fontId="0"/>
  </si>
  <si>
    <t>HIB</t>
  </si>
  <si>
    <t>DARK BLUE</t>
    <phoneticPr fontId="0"/>
  </si>
  <si>
    <t>ダイキャスト</t>
    <phoneticPr fontId="0"/>
  </si>
  <si>
    <t>MEXICO</t>
    <phoneticPr fontId="0"/>
  </si>
  <si>
    <t>Jakarta</t>
  </si>
  <si>
    <t>Currency / Exchange rate</t>
    <phoneticPr fontId="0"/>
  </si>
  <si>
    <t>USD:</t>
  </si>
  <si>
    <t>HNY</t>
  </si>
  <si>
    <t>GREEN</t>
    <phoneticPr fontId="0"/>
  </si>
  <si>
    <t>アウトサート</t>
    <phoneticPr fontId="0"/>
  </si>
  <si>
    <t>USA</t>
    <phoneticPr fontId="0"/>
  </si>
  <si>
    <t>Surabaya</t>
  </si>
  <si>
    <t>Material</t>
    <phoneticPr fontId="0"/>
  </si>
  <si>
    <t xml:space="preserve">Direct </t>
    <phoneticPr fontId="0"/>
  </si>
  <si>
    <t>HTZ</t>
  </si>
  <si>
    <t>ORANGE</t>
  </si>
  <si>
    <t>押し出し</t>
    <rPh sb="0" eb="1">
      <t>オ</t>
    </rPh>
    <rPh sb="2" eb="3">
      <t>ダ</t>
    </rPh>
    <phoneticPr fontId="0"/>
  </si>
  <si>
    <t>BRAZIL</t>
    <phoneticPr fontId="0"/>
  </si>
  <si>
    <t>Semarang</t>
  </si>
  <si>
    <t>fee</t>
    <phoneticPr fontId="0"/>
  </si>
  <si>
    <t>information</t>
    <phoneticPr fontId="0"/>
  </si>
  <si>
    <t>Material name</t>
    <phoneticPr fontId="0"/>
  </si>
  <si>
    <t>PP</t>
    <phoneticPr fontId="0"/>
  </si>
  <si>
    <t>MB</t>
    <phoneticPr fontId="0"/>
  </si>
  <si>
    <t>HZY</t>
  </si>
  <si>
    <t>高圧ORANGE</t>
  </si>
  <si>
    <t>ブロー</t>
    <phoneticPr fontId="0"/>
  </si>
  <si>
    <t>ARGENTINA</t>
    <phoneticPr fontId="0"/>
  </si>
  <si>
    <t>Haiphong</t>
  </si>
  <si>
    <t>Material grade</t>
    <phoneticPr fontId="0"/>
  </si>
  <si>
    <t>BJ500</t>
    <phoneticPr fontId="0"/>
  </si>
  <si>
    <t>JAI</t>
  </si>
  <si>
    <t>WHITE</t>
    <phoneticPr fontId="0"/>
  </si>
  <si>
    <t>インモールド</t>
    <phoneticPr fontId="0"/>
  </si>
  <si>
    <t>TURKEY</t>
  </si>
  <si>
    <t>HoChiMinh</t>
  </si>
  <si>
    <t>Material code</t>
    <phoneticPr fontId="0"/>
  </si>
  <si>
    <t>KET</t>
  </si>
  <si>
    <t>PIM</t>
    <phoneticPr fontId="0"/>
  </si>
  <si>
    <t>GERMANY</t>
    <phoneticPr fontId="0"/>
  </si>
  <si>
    <t>Manilla</t>
  </si>
  <si>
    <t>MB ％</t>
    <phoneticPr fontId="0"/>
  </si>
  <si>
    <t>LOROM</t>
  </si>
  <si>
    <t>DIP成形</t>
    <rPh sb="3" eb="5">
      <t>セイケイ</t>
    </rPh>
    <phoneticPr fontId="0"/>
  </si>
  <si>
    <t>SPAIN</t>
  </si>
  <si>
    <t>Bangkok</t>
  </si>
  <si>
    <t>Material color</t>
    <phoneticPr fontId="0"/>
  </si>
  <si>
    <t>NATURAL</t>
  </si>
  <si>
    <t>NACOM</t>
  </si>
  <si>
    <t>ﾚｰｻﾞｰﾌﾟﾛｸﾞﾗﾑ費</t>
    <rPh sb="12" eb="13">
      <t>ヒ</t>
    </rPh>
    <phoneticPr fontId="0"/>
  </si>
  <si>
    <t>ITALY</t>
    <phoneticPr fontId="0"/>
  </si>
  <si>
    <t>NhavaSheva</t>
  </si>
  <si>
    <t>Size</t>
    <phoneticPr fontId="0"/>
  </si>
  <si>
    <t>NIM</t>
  </si>
  <si>
    <t>シルク</t>
    <phoneticPr fontId="0"/>
  </si>
  <si>
    <t>PORTUGAL</t>
    <phoneticPr fontId="0"/>
  </si>
  <si>
    <t>Chennai</t>
  </si>
  <si>
    <t>Unit Price</t>
    <phoneticPr fontId="0"/>
  </si>
  <si>
    <t>(　/ｋg)</t>
    <phoneticPr fontId="0"/>
  </si>
  <si>
    <t>OHM</t>
  </si>
  <si>
    <t>ﾎｯﾄｽﾀﾝﾌﾟ</t>
    <phoneticPr fontId="0"/>
  </si>
  <si>
    <t>ジャカルダ倉庫</t>
    <rPh sb="5" eb="7">
      <t>ソウコ</t>
    </rPh>
    <phoneticPr fontId="0"/>
  </si>
  <si>
    <t>Return Price</t>
    <phoneticPr fontId="0"/>
  </si>
  <si>
    <t>SAI</t>
  </si>
  <si>
    <t>PAD印刷</t>
    <rPh sb="3" eb="5">
      <t>インサツ</t>
    </rPh>
    <phoneticPr fontId="0"/>
  </si>
  <si>
    <t>Apia</t>
  </si>
  <si>
    <t>Part Weight</t>
    <phoneticPr fontId="0"/>
  </si>
  <si>
    <t>(g/pcs)</t>
    <phoneticPr fontId="0"/>
  </si>
  <si>
    <t>SAMI</t>
  </si>
  <si>
    <t>自動機</t>
    <rPh sb="0" eb="3">
      <t>ジドウキ</t>
    </rPh>
    <phoneticPr fontId="0"/>
  </si>
  <si>
    <t>Incl. Loss</t>
    <phoneticPr fontId="0"/>
  </si>
  <si>
    <t>（g/pcs)</t>
    <phoneticPr fontId="0"/>
  </si>
  <si>
    <t>SHY</t>
  </si>
  <si>
    <r>
      <rPr>
        <sz val="11"/>
        <rFont val="ＭＳ Ｐゴシック"/>
        <family val="3"/>
        <charset val="128"/>
      </rPr>
      <t xml:space="preserve">Hand </t>
    </r>
    <r>
      <rPr>
        <sz val="11"/>
        <rFont val="ＭＳ Ｐゴシック"/>
        <family val="3"/>
        <charset val="128"/>
      </rPr>
      <t>A</t>
    </r>
    <r>
      <rPr>
        <sz val="11"/>
        <rFont val="ＭＳ Ｐゴシック"/>
        <family val="3"/>
        <charset val="128"/>
      </rPr>
      <t>ssy jig</t>
    </r>
  </si>
  <si>
    <t>Direct Material Total</t>
    <phoneticPr fontId="0"/>
  </si>
  <si>
    <t>USD/pcs</t>
  </si>
  <si>
    <t>SINCOM</t>
  </si>
  <si>
    <r>
      <t>L</t>
    </r>
    <r>
      <rPr>
        <sz val="11"/>
        <rFont val="ＭＳ Ｐゴシック"/>
        <family val="3"/>
        <charset val="128"/>
      </rPr>
      <t>ABEL</t>
    </r>
  </si>
  <si>
    <t>Other</t>
    <phoneticPr fontId="0"/>
  </si>
  <si>
    <t>SMD</t>
  </si>
  <si>
    <r>
      <t>O</t>
    </r>
    <r>
      <rPr>
        <sz val="11"/>
        <rFont val="ＭＳ Ｐゴシック"/>
        <family val="3"/>
        <charset val="128"/>
      </rPr>
      <t>THER</t>
    </r>
  </si>
  <si>
    <t>SSN</t>
  </si>
  <si>
    <t>Material fee Total</t>
    <phoneticPr fontId="0"/>
  </si>
  <si>
    <t>SYA</t>
  </si>
  <si>
    <t>Process</t>
    <phoneticPr fontId="0"/>
  </si>
  <si>
    <t>Cavity　　×　　SET</t>
    <phoneticPr fontId="0"/>
  </si>
  <si>
    <t>TAD</t>
  </si>
  <si>
    <t>Process/</t>
    <phoneticPr fontId="0"/>
  </si>
  <si>
    <t>Machine name</t>
    <phoneticPr fontId="0"/>
  </si>
  <si>
    <t>150ton</t>
    <phoneticPr fontId="0"/>
  </si>
  <si>
    <t>TAPB</t>
  </si>
  <si>
    <t>Out-Put/hour
(pcs/h)</t>
    <phoneticPr fontId="0"/>
  </si>
  <si>
    <r>
      <t>Cost/hour
(</t>
    </r>
    <r>
      <rPr>
        <sz val="11"/>
        <rFont val="ＭＳ Ｐゴシック"/>
        <family val="3"/>
        <charset val="128"/>
      </rPr>
      <t xml:space="preserve"> </t>
    </r>
    <r>
      <rPr>
        <sz val="11"/>
        <rFont val="ＭＳ Ｐゴシック"/>
        <family val="3"/>
        <charset val="128"/>
      </rPr>
      <t>/h)</t>
    </r>
  </si>
  <si>
    <t>Price</t>
    <phoneticPr fontId="0"/>
  </si>
  <si>
    <t>TAPO</t>
  </si>
  <si>
    <t>Process2</t>
    <phoneticPr fontId="0"/>
  </si>
  <si>
    <t>INSPECTION</t>
    <phoneticPr fontId="0"/>
  </si>
  <si>
    <t>TAPP</t>
  </si>
  <si>
    <t>TCG</t>
  </si>
  <si>
    <t>TJY</t>
  </si>
  <si>
    <t>Process3</t>
    <phoneticPr fontId="0"/>
  </si>
  <si>
    <t>TYA-P</t>
  </si>
  <si>
    <t>TYA-U</t>
  </si>
  <si>
    <t>TYA-B</t>
  </si>
  <si>
    <t>Process4</t>
    <phoneticPr fontId="0"/>
  </si>
  <si>
    <t>TYC</t>
  </si>
  <si>
    <t>WSZ</t>
  </si>
  <si>
    <t>YAS</t>
  </si>
  <si>
    <t>Process5</t>
    <phoneticPr fontId="0"/>
  </si>
  <si>
    <t>YBE</t>
  </si>
  <si>
    <t>YBL</t>
  </si>
  <si>
    <t>YCSA</t>
  </si>
  <si>
    <t>Process6</t>
    <phoneticPr fontId="0"/>
  </si>
  <si>
    <t>YCT</t>
  </si>
  <si>
    <t>YEL</t>
  </si>
  <si>
    <t>YELB</t>
  </si>
  <si>
    <t>Process7</t>
    <phoneticPr fontId="0"/>
  </si>
  <si>
    <t>YELBL</t>
  </si>
  <si>
    <t>YELG</t>
  </si>
  <si>
    <t>YELP</t>
  </si>
  <si>
    <t>Process8</t>
    <phoneticPr fontId="0"/>
  </si>
  <si>
    <t>YELT</t>
  </si>
  <si>
    <t>YES</t>
  </si>
  <si>
    <t>YEV</t>
  </si>
  <si>
    <t>Process fee Total</t>
    <phoneticPr fontId="0"/>
  </si>
  <si>
    <t>YHK</t>
  </si>
  <si>
    <t>Admi.
Fee</t>
    <phoneticPr fontId="0"/>
  </si>
  <si>
    <t>against Material fee</t>
    <phoneticPr fontId="0"/>
  </si>
  <si>
    <t>against Process fee</t>
    <phoneticPr fontId="0"/>
  </si>
  <si>
    <t>YHV</t>
  </si>
  <si>
    <t>against Profit fee</t>
  </si>
  <si>
    <t>YMO</t>
  </si>
  <si>
    <t>Administration fee total</t>
    <phoneticPr fontId="0"/>
  </si>
  <si>
    <t>YNA</t>
  </si>
  <si>
    <t>Packing</t>
    <phoneticPr fontId="0"/>
  </si>
  <si>
    <t>Carton size  L*W*H</t>
    <phoneticPr fontId="0"/>
  </si>
  <si>
    <t>（mm)</t>
    <phoneticPr fontId="0"/>
  </si>
  <si>
    <t>540*380*380</t>
    <phoneticPr fontId="0"/>
  </si>
  <si>
    <t>YNAE</t>
  </si>
  <si>
    <t>Qty in inner package / Qty in outside package</t>
    <phoneticPr fontId="0"/>
  </si>
  <si>
    <t>YOT</t>
  </si>
  <si>
    <t>Packing detail</t>
    <phoneticPr fontId="0"/>
  </si>
  <si>
    <t>PCS</t>
    <phoneticPr fontId="0"/>
  </si>
  <si>
    <t>単価</t>
    <phoneticPr fontId="0"/>
  </si>
  <si>
    <t>使用個数</t>
    <rPh sb="0" eb="2">
      <t>シヨウ</t>
    </rPh>
    <rPh sb="2" eb="4">
      <t>コスウ</t>
    </rPh>
    <phoneticPr fontId="0"/>
  </si>
  <si>
    <t>YOTG</t>
  </si>
  <si>
    <t>CARTON/IMPRABOARD</t>
  </si>
  <si>
    <t>YRL</t>
  </si>
  <si>
    <t>VINYL</t>
    <phoneticPr fontId="0"/>
  </si>
  <si>
    <t>YSE</t>
  </si>
  <si>
    <t>LAYER</t>
  </si>
  <si>
    <t>LABEL</t>
  </si>
  <si>
    <t>TAPE</t>
  </si>
  <si>
    <t>YSK</t>
  </si>
  <si>
    <t>PALLETE</t>
  </si>
  <si>
    <t>OTHER</t>
  </si>
  <si>
    <t>Packing fee total</t>
    <phoneticPr fontId="0"/>
  </si>
  <si>
    <t>YSP</t>
  </si>
  <si>
    <t>YTMI</t>
  </si>
  <si>
    <t>YUL</t>
  </si>
  <si>
    <t>Max. capacity /monthly</t>
    <phoneticPr fontId="0"/>
  </si>
  <si>
    <t>(pcs/month)</t>
    <phoneticPr fontId="0"/>
  </si>
  <si>
    <t>YUY</t>
  </si>
  <si>
    <t>4M</t>
    <phoneticPr fontId="0"/>
  </si>
  <si>
    <t>Man</t>
    <phoneticPr fontId="0"/>
  </si>
  <si>
    <t>INDONESIA</t>
    <phoneticPr fontId="0"/>
  </si>
  <si>
    <t>YYA</t>
  </si>
  <si>
    <t>ZZY</t>
  </si>
  <si>
    <t>Machine</t>
    <phoneticPr fontId="0"/>
  </si>
  <si>
    <t>XGY</t>
  </si>
  <si>
    <t>Tool</t>
    <phoneticPr fontId="0"/>
  </si>
  <si>
    <t>日本国内</t>
    <rPh sb="0" eb="2">
      <t>ニホン</t>
    </rPh>
    <rPh sb="2" eb="4">
      <t>コクナイ</t>
    </rPh>
    <phoneticPr fontId="0"/>
  </si>
  <si>
    <t>Tooling fee payment method</t>
    <phoneticPr fontId="0"/>
  </si>
  <si>
    <t>Amort /month</t>
  </si>
  <si>
    <t>乙仲納入</t>
    <rPh sb="0" eb="1">
      <t>オツ</t>
    </rPh>
    <rPh sb="1" eb="2">
      <t>ナカ</t>
    </rPh>
    <rPh sb="2" eb="4">
      <t>ノウニュウ</t>
    </rPh>
    <phoneticPr fontId="0"/>
  </si>
  <si>
    <t>/Assy Jig</t>
    <phoneticPr fontId="0"/>
  </si>
  <si>
    <t>①</t>
    <phoneticPr fontId="0"/>
  </si>
  <si>
    <t>Item</t>
    <phoneticPr fontId="0"/>
  </si>
  <si>
    <t>NEW</t>
  </si>
  <si>
    <t>メーカー直納</t>
    <rPh sb="4" eb="5">
      <t>チョク</t>
    </rPh>
    <rPh sb="5" eb="6">
      <t>オサム</t>
    </rPh>
    <phoneticPr fontId="0"/>
  </si>
  <si>
    <t>Type</t>
    <phoneticPr fontId="0"/>
  </si>
  <si>
    <t>No, of SET</t>
    <phoneticPr fontId="0"/>
  </si>
  <si>
    <t>INJ</t>
  </si>
  <si>
    <t>Life time shot</t>
    <phoneticPr fontId="0"/>
  </si>
  <si>
    <t>Kick-off country</t>
    <phoneticPr fontId="0"/>
  </si>
  <si>
    <t>Tooling Fee</t>
    <phoneticPr fontId="0"/>
  </si>
  <si>
    <t>(　/SET）</t>
    <phoneticPr fontId="0"/>
  </si>
  <si>
    <t>②</t>
    <phoneticPr fontId="0"/>
  </si>
  <si>
    <t>Life time shot /SET</t>
    <phoneticPr fontId="0"/>
  </si>
  <si>
    <t>Tooling Fee total</t>
    <phoneticPr fontId="0"/>
  </si>
  <si>
    <t>Amortization Fee</t>
    <phoneticPr fontId="0"/>
  </si>
  <si>
    <t>Adjusting fee</t>
    <phoneticPr fontId="0"/>
  </si>
  <si>
    <t>Ex Works</t>
    <phoneticPr fontId="0"/>
  </si>
  <si>
    <t>Logistic fee</t>
    <phoneticPr fontId="0"/>
  </si>
  <si>
    <t>Duty</t>
    <phoneticPr fontId="0"/>
  </si>
  <si>
    <t>Part Price</t>
    <phoneticPr fontId="0"/>
  </si>
  <si>
    <t>VAT</t>
  </si>
  <si>
    <t>Delivered Price</t>
    <phoneticPr fontId="0"/>
  </si>
  <si>
    <t>INCO</t>
    <phoneticPr fontId="0"/>
  </si>
  <si>
    <t>DDP</t>
  </si>
  <si>
    <t>Export Price to Japan</t>
    <phoneticPr fontId="0"/>
  </si>
  <si>
    <t>(JPY/pcs）</t>
    <phoneticPr fontId="0"/>
  </si>
  <si>
    <t>Estimate mold process finish date</t>
  </si>
  <si>
    <t>2month</t>
    <phoneticPr fontId="0"/>
  </si>
  <si>
    <t>Trial date</t>
  </si>
  <si>
    <t>First shot sample aproval date</t>
  </si>
  <si>
    <t>Note</t>
    <phoneticPr fontId="0"/>
  </si>
  <si>
    <t>SINGLE PARTS</t>
  </si>
  <si>
    <t>HEADER</t>
  </si>
  <si>
    <t>QuotationHeader</t>
  </si>
  <si>
    <t>No</t>
  </si>
  <si>
    <t>template column</t>
  </si>
  <si>
    <t>PartNo</t>
  </si>
  <si>
    <t>Part Number</t>
  </si>
  <si>
    <t>SupplierID</t>
  </si>
  <si>
    <t>ControlNo</t>
  </si>
  <si>
    <t>Ctrl. No</t>
  </si>
  <si>
    <t>PartName</t>
  </si>
  <si>
    <t>Part Name</t>
  </si>
  <si>
    <t>MassProPartNo</t>
  </si>
  <si>
    <t>QuotationType</t>
  </si>
  <si>
    <t>QuotationVolMonth</t>
  </si>
  <si>
    <t>Quotation Vol (pcs/month)</t>
  </si>
  <si>
    <t>QuotationCurrCode</t>
  </si>
  <si>
    <t>Currency</t>
  </si>
  <si>
    <t>ExchangeRate</t>
  </si>
  <si>
    <t>Exchange Rate</t>
  </si>
  <si>
    <t>ProjectType</t>
  </si>
  <si>
    <t>DeliveryDate</t>
  </si>
  <si>
    <t>CarMaker</t>
  </si>
  <si>
    <t>CarLine</t>
  </si>
  <si>
    <t>DueDate</t>
  </si>
  <si>
    <t>LO</t>
  </si>
  <si>
    <t>Active</t>
  </si>
  <si>
    <t>PartRank</t>
  </si>
  <si>
    <t>PartCls</t>
  </si>
  <si>
    <t>PartSubCls</t>
  </si>
  <si>
    <t>RemarksPASI</t>
  </si>
  <si>
    <t>RemarksSupplier</t>
  </si>
  <si>
    <t>TotalMaterialFee</t>
  </si>
  <si>
    <t>Material Fee Total</t>
  </si>
  <si>
    <t>TotalMaterialAssyFee</t>
  </si>
  <si>
    <t>TotalProcessFee</t>
  </si>
  <si>
    <t>Process Fee Total</t>
  </si>
  <si>
    <t>TotalAdminFee</t>
  </si>
  <si>
    <t>Admin Fee Total</t>
  </si>
  <si>
    <t>TotalPackingDetail</t>
  </si>
  <si>
    <t>Packing Fee Total</t>
  </si>
  <si>
    <t>SupplierAmortizationPerPcs1</t>
  </si>
  <si>
    <t>PASIAmortizationPerPcs</t>
  </si>
  <si>
    <t>TotalOthersFee</t>
  </si>
  <si>
    <t>TotalOthersFee1</t>
  </si>
  <si>
    <t>TotalOthersFee2</t>
  </si>
  <si>
    <t>TotalOthersFee3</t>
  </si>
  <si>
    <t>TotalOthersFee4</t>
  </si>
  <si>
    <t>Status1_RFQEntry_Date</t>
  </si>
  <si>
    <t>Status1_RFQEntry_User</t>
  </si>
  <si>
    <t>Status2_RFQApproval_Date</t>
  </si>
  <si>
    <t>Status2_RFQApproval_User</t>
  </si>
  <si>
    <t>Status3_SupplierSubmit_Date</t>
  </si>
  <si>
    <t>Status3_SupplierSubmit_User</t>
  </si>
  <si>
    <t>Status4_Revision_Date</t>
  </si>
  <si>
    <t>Status4_Revision_User</t>
  </si>
  <si>
    <t>Status5_FinalQuotationApprove_Date</t>
  </si>
  <si>
    <t>Status5_FinalQuotationApprove_User</t>
  </si>
  <si>
    <t>Status6_FinalQuotationUnApprove_Date</t>
  </si>
  <si>
    <t>Status6_FinalQuotationUnApprove_User</t>
  </si>
  <si>
    <t>SendRFQCls</t>
  </si>
  <si>
    <t>SendAgrementCls</t>
  </si>
  <si>
    <t>FinalQuotation_MassProPartNo</t>
  </si>
  <si>
    <t>FinalQuotation_RemarksPASI</t>
  </si>
  <si>
    <t>FinalQuotation_RemarksSupplier</t>
  </si>
  <si>
    <t>Material Assy</t>
  </si>
  <si>
    <t>Process Fee</t>
  </si>
  <si>
    <t>Admin Fee</t>
  </si>
  <si>
    <t>Table Material Assy</t>
  </si>
  <si>
    <t>Template Excel</t>
  </si>
  <si>
    <t>Table Material Fee</t>
  </si>
  <si>
    <t>Table AdminFee</t>
  </si>
  <si>
    <t>SeqNo</t>
  </si>
  <si>
    <t>PurchaseFeePercentage</t>
  </si>
  <si>
    <t>ProcessName</t>
  </si>
  <si>
    <t>PurchaseFeeAmount</t>
  </si>
  <si>
    <t>MCSize</t>
  </si>
  <si>
    <t>MaterialFeePercentage</t>
  </si>
  <si>
    <t>CycleTime</t>
  </si>
  <si>
    <t>MaterialFeeAmount</t>
  </si>
  <si>
    <t>UnitPrice</t>
  </si>
  <si>
    <t>OutPut</t>
  </si>
  <si>
    <t>ProcessFeePercentage</t>
  </si>
  <si>
    <t>CostPerHour</t>
  </si>
  <si>
    <t>ProcessFeeAmount</t>
  </si>
  <si>
    <t>RegisterDate</t>
  </si>
  <si>
    <t>ProcessCost</t>
  </si>
  <si>
    <t>ProfitFeePercentage</t>
  </si>
  <si>
    <t>LastUpdateDate</t>
  </si>
  <si>
    <t>ProfitFeeAmount</t>
  </si>
  <si>
    <t>UserID</t>
  </si>
  <si>
    <t>Mold Fee Supplier</t>
  </si>
  <si>
    <t>TableMoldFee Supplier</t>
  </si>
  <si>
    <t>MoldCode</t>
  </si>
  <si>
    <t>ProductionCountry</t>
  </si>
  <si>
    <t>Item</t>
  </si>
  <si>
    <t>Grade</t>
  </si>
  <si>
    <t>Cavity</t>
  </si>
  <si>
    <t>MoldQty</t>
  </si>
  <si>
    <t>LifeTimeShot</t>
  </si>
  <si>
    <t>MaxCapacity</t>
  </si>
  <si>
    <t>TotalMoldCapacityPerMonth</t>
  </si>
  <si>
    <t>MoldCost</t>
  </si>
  <si>
    <t>MoldModificationCost</t>
  </si>
  <si>
    <t>TotalMoldCost</t>
  </si>
  <si>
    <t>AmortizationTerm</t>
  </si>
  <si>
    <t>AmortizationQty</t>
  </si>
  <si>
    <t>AmortizationPerPcs</t>
  </si>
  <si>
    <t>MaterialSupplier</t>
  </si>
  <si>
    <t>MaterialName</t>
  </si>
  <si>
    <t>Color</t>
  </si>
  <si>
    <t>PartWeightNet</t>
  </si>
  <si>
    <t>PartWeightGross</t>
  </si>
  <si>
    <t>MBRate_NA</t>
  </si>
  <si>
    <t>MBRate_MB</t>
  </si>
  <si>
    <t>MBUnitPrice</t>
  </si>
  <si>
    <t>DirectMaterialFee</t>
  </si>
  <si>
    <t>IndirectMaterialFee</t>
  </si>
  <si>
    <t>E10</t>
  </si>
  <si>
    <t>G4</t>
  </si>
  <si>
    <t>Sup Name</t>
  </si>
  <si>
    <t>E9</t>
  </si>
  <si>
    <t>E11</t>
  </si>
  <si>
    <t>E13</t>
  </si>
  <si>
    <t>E14</t>
  </si>
  <si>
    <t>F14</t>
  </si>
  <si>
    <t>E29</t>
  </si>
  <si>
    <t>E55</t>
  </si>
  <si>
    <t>E59</t>
  </si>
  <si>
    <t>E72</t>
  </si>
  <si>
    <t>Material Name</t>
  </si>
  <si>
    <t>E20</t>
  </si>
  <si>
    <t>Material Color</t>
  </si>
  <si>
    <t>Material Grade</t>
  </si>
  <si>
    <t>Part Weight</t>
  </si>
  <si>
    <t>Unit Price</t>
  </si>
  <si>
    <t>E26</t>
  </si>
  <si>
    <t>Direct Material Total</t>
  </si>
  <si>
    <t>E31</t>
  </si>
  <si>
    <t xml:space="preserve">Process </t>
  </si>
  <si>
    <t>E32</t>
  </si>
  <si>
    <t>Output/Hour</t>
  </si>
  <si>
    <t>F32</t>
  </si>
  <si>
    <t>Cost/Hour</t>
  </si>
  <si>
    <t>Against Material Fee</t>
  </si>
  <si>
    <t>Against Process Fee</t>
  </si>
  <si>
    <t>Against Profit Fee</t>
  </si>
  <si>
    <t>E56</t>
  </si>
  <si>
    <t>F56</t>
  </si>
  <si>
    <t>E57</t>
  </si>
  <si>
    <t>F57</t>
  </si>
  <si>
    <t>E58</t>
  </si>
  <si>
    <t>F58</t>
  </si>
  <si>
    <t>SUP CODE：</t>
    <phoneticPr fontId="0"/>
  </si>
  <si>
    <t>L4</t>
  </si>
  <si>
    <t>Part Number prototype</t>
  </si>
  <si>
    <t>E78</t>
  </si>
  <si>
    <t>E21 - F21</t>
  </si>
  <si>
    <t>E18 - F18</t>
  </si>
  <si>
    <t>E25</t>
  </si>
  <si>
    <t>F20</t>
  </si>
  <si>
    <t>E23</t>
  </si>
  <si>
    <t>F23</t>
  </si>
  <si>
    <t>E27</t>
  </si>
  <si>
    <t>Others1</t>
  </si>
  <si>
    <t>Others2</t>
  </si>
  <si>
    <t>E28</t>
  </si>
  <si>
    <t>E30</t>
  </si>
  <si>
    <t>B32</t>
  </si>
  <si>
    <t>Rumus</t>
  </si>
  <si>
    <t>E33</t>
  </si>
  <si>
    <t>F33</t>
  </si>
  <si>
    <t>E37</t>
  </si>
  <si>
    <t>E80</t>
  </si>
  <si>
    <t>B82</t>
  </si>
  <si>
    <t>F84</t>
  </si>
  <si>
    <t>sementara kosong</t>
  </si>
  <si>
    <t>E85</t>
  </si>
  <si>
    <t>E76</t>
  </si>
  <si>
    <t>E82</t>
  </si>
  <si>
    <t>E86</t>
  </si>
  <si>
    <t>E92</t>
  </si>
  <si>
    <t>F81</t>
  </si>
  <si>
    <t>E93</t>
  </si>
  <si>
    <t>Packing</t>
  </si>
  <si>
    <t>Table Packing</t>
  </si>
  <si>
    <t>PackingName</t>
  </si>
  <si>
    <t>QtyInOutsidePackage</t>
  </si>
  <si>
    <t>Qty</t>
  </si>
  <si>
    <t>Total</t>
  </si>
  <si>
    <t>A64</t>
  </si>
  <si>
    <t>F62</t>
  </si>
  <si>
    <t>E64</t>
  </si>
  <si>
    <t>F64</t>
  </si>
  <si>
    <t>E73</t>
  </si>
  <si>
    <t>Mass pro part number</t>
  </si>
  <si>
    <t>E17</t>
  </si>
  <si>
    <t>Process1</t>
  </si>
  <si>
    <t>KMK</t>
  </si>
  <si>
    <t>KIH-12-EC-1234</t>
  </si>
  <si>
    <t>7284-12341</t>
  </si>
  <si>
    <t>admin-purchase@pemi.co.id</t>
  </si>
  <si>
    <t>motcomp-03@pemi.co.id;motcomp-02@pemi.co.id;motcomp-04@pemi.co.id;motcomp-06@pemi.co.id;nisa-k@pemi.co.id;mahfud-a@pemi.co.id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</si>
</sst>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_ "/>
    <numFmt numFmtId="165" formatCode="&quot;¥&quot;#,##0.000;&quot;¥&quot;\-#,##0.000"/>
    <numFmt numFmtId="166" formatCode="0.00_ "/>
    <numFmt numFmtId="167" formatCode="0_ "/>
    <numFmt numFmtId="168" formatCode="#,##0.00_ "/>
    <numFmt numFmtId="169" formatCode="0.0%"/>
    <numFmt numFmtId="170" formatCode="yyyy/m/d;@"/>
  </numFmts>
  <fonts count="28">
    <font>
      <sz val="11"/>
      <name val="ＭＳ Ｐゴシック"/>
      <family val="3"/>
      <charset val="128"/>
    </font>
    <font>
      <sz val="11"/>
      <name val="ＭＳ Ｐゴシック"/>
      <family val="3"/>
      <charset val="128"/>
    </font>
    <font>
      <sz val="14"/>
      <name val="ＭＳ Ｐゴシック"/>
      <family val="3"/>
      <charset val="128"/>
    </font>
    <font>
      <sz val="12"/>
      <name val="ＭＳ Ｐゴシック"/>
      <family val="3"/>
      <charset val="128"/>
    </font>
    <font>
      <sz val="10"/>
      <name val="ＭＳ Ｐゴシック"/>
      <family val="3"/>
      <charset val="128"/>
    </font>
    <font>
      <b/>
      <sz val="20"/>
      <name val="ＭＳ Ｐゴシック"/>
      <family val="3"/>
      <charset val="128"/>
    </font>
    <font>
      <b/>
      <sz val="14"/>
      <name val="ＭＳ Ｐゴシック"/>
      <family val="3"/>
      <charset val="128"/>
    </font>
    <font>
      <b/>
      <sz val="16"/>
      <name val="ＭＳ Ｐゴシック"/>
      <family val="3"/>
      <charset val="128"/>
    </font>
    <font>
      <b/>
      <sz val="12"/>
      <name val="ＭＳ Ｐゴシック"/>
      <family val="3"/>
      <charset val="128"/>
    </font>
    <font>
      <b/>
      <sz val="11"/>
      <color rgb="FFFF0000"/>
      <name val="ＭＳ Ｐゴシック"/>
      <family val="3"/>
      <charset val="128"/>
    </font>
    <font>
      <sz val="13"/>
      <name val="ＭＳ Ｐゴシック"/>
      <family val="3"/>
      <charset val="128"/>
    </font>
    <font>
      <sz val="12"/>
      <color rgb="FFFF0000"/>
      <name val="ＭＳ Ｐゴシック"/>
      <family val="3"/>
      <charset val="128"/>
    </font>
    <font>
      <b/>
      <sz val="10"/>
      <name val="ＭＳ Ｐゴシック"/>
      <family val="3"/>
      <charset val="128"/>
    </font>
    <font>
      <b/>
      <sz val="13"/>
      <name val="ＭＳ Ｐゴシック"/>
      <family val="3"/>
      <charset val="128"/>
    </font>
    <font>
      <sz val="13"/>
      <color indexed="10"/>
      <name val="ＭＳ Ｐゴシック"/>
      <family val="3"/>
      <charset val="128"/>
    </font>
    <font>
      <b/>
      <sz val="16"/>
      <color indexed="62"/>
      <name val="ＭＳ Ｐゴシック"/>
      <family val="3"/>
      <charset val="128"/>
    </font>
    <font>
      <b/>
      <sz val="11"/>
      <color indexed="62"/>
      <name val="ＭＳ Ｐゴシック"/>
      <family val="3"/>
      <charset val="128"/>
    </font>
    <font>
      <b/>
      <sz val="12"/>
      <color indexed="62"/>
      <name val="ＭＳ Ｐゴシック"/>
      <family val="3"/>
      <charset val="128"/>
    </font>
    <font>
      <sz val="16"/>
      <name val="ＭＳ Ｐゴシック"/>
      <family val="3"/>
      <charset val="128"/>
    </font>
    <font>
      <b/>
      <sz val="14"/>
      <color indexed="81"/>
      <name val="ＭＳ Ｐゴシック"/>
      <family val="3"/>
      <charset val="128"/>
    </font>
    <font>
      <sz val="9"/>
      <color indexed="81"/>
      <name val="Tahoma"/>
      <family val="2"/>
    </font>
    <font>
      <b/>
      <sz val="9"/>
      <color indexed="81"/>
      <name val="Tahoma"/>
      <family val="2"/>
    </font>
    <font>
      <sz val="14"/>
      <color theme="0"/>
      <name val="ＭＳ Ｐゴシック"/>
      <family val="3"/>
      <charset val="128"/>
    </font>
    <font>
      <sz val="12"/>
      <color theme="0"/>
      <name val="ＭＳ Ｐゴシック"/>
      <family val="3"/>
      <charset val="128"/>
    </font>
    <font>
      <b/>
      <sz val="11"/>
      <name val="ＭＳ Ｐゴシック"/>
    </font>
    <font>
      <sz val="11"/>
      <name val="Calibri"/>
      <family val="2"/>
      <scheme val="minor"/>
    </font>
    <font>
      <sz val="11"/>
      <color rgb="FFFF0000"/>
      <name val="Calibri"/>
      <family val="2"/>
      <scheme val="minor"/>
    </font>
    <font>
      <b/>
      <sz val="14"/>
      <color rgb="FF000000"/>
      <name val="Arial"/>
      <family val="2"/>
    </font>
  </fonts>
  <fills count="14">
    <fill>
      <patternFill patternType="none"/>
    </fill>
    <fill>
      <patternFill patternType="gray125"/>
    </fill>
    <fill>
      <patternFill patternType="solid">
        <fgColor indexed="13"/>
        <bgColor indexed="64"/>
      </patternFill>
    </fill>
    <fill>
      <patternFill patternType="gray125">
        <fgColor indexed="41"/>
      </patternFill>
    </fill>
    <fill>
      <patternFill patternType="gray125">
        <fgColor indexed="43"/>
      </patternFill>
    </fill>
    <fill>
      <patternFill patternType="gray125">
        <fgColor indexed="46"/>
      </patternFill>
    </fill>
    <fill>
      <patternFill patternType="gray125">
        <fgColor indexed="31"/>
      </patternFill>
    </fill>
    <fill>
      <patternFill patternType="solid">
        <fgColor indexed="27"/>
        <bgColor indexed="64"/>
      </patternFill>
    </fill>
    <fill>
      <patternFill patternType="solid">
        <fgColor indexed="41"/>
        <bgColor indexed="64"/>
      </patternFill>
    </fill>
    <fill>
      <patternFill patternType="gray125">
        <fgColor indexed="45"/>
      </patternFill>
    </fill>
    <fill>
      <patternFill patternType="gray125">
        <fgColor indexed="24"/>
      </patternFill>
    </fill>
    <fill>
      <patternFill patternType="solid">
        <fgColor rgb="FFFFFF00"/>
        <bgColor indexed="64"/>
      </patternFill>
    </fill>
    <fill>
      <patternFill patternType="gray125">
        <fgColor indexed="41"/>
        <bgColor rgb="FFFFFF00"/>
      </patternFill>
    </fill>
    <fill>
      <patternFill patternType="gray125">
        <fgColor indexed="45"/>
        <bgColor rgb="FFFFFF00"/>
      </patternFill>
    </fill>
  </fills>
  <borders count="1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double">
        <color indexed="64"/>
      </left>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double">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top style="thin">
        <color indexed="64"/>
      </top>
      <bottom/>
      <diagonal/>
    </border>
    <border>
      <left style="hair">
        <color indexed="64"/>
      </left>
      <right style="double">
        <color indexed="64"/>
      </right>
      <top style="thin">
        <color indexed="64"/>
      </top>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top style="dotted">
        <color indexed="64"/>
      </top>
      <bottom style="dotted">
        <color indexed="64"/>
      </bottom>
      <diagonal/>
    </border>
    <border>
      <left style="hair">
        <color indexed="64"/>
      </left>
      <right style="double">
        <color indexed="64"/>
      </right>
      <top style="dotted">
        <color indexed="64"/>
      </top>
      <bottom style="dotted">
        <color indexed="64"/>
      </bottom>
      <diagonal/>
    </border>
    <border>
      <left style="thin">
        <color indexed="64"/>
      </left>
      <right style="thin">
        <color indexed="64"/>
      </right>
      <top style="dotted">
        <color indexed="64"/>
      </top>
      <bottom/>
      <diagonal/>
    </border>
    <border>
      <left style="thin">
        <color indexed="64"/>
      </left>
      <right/>
      <top style="dotted">
        <color indexed="64"/>
      </top>
      <bottom/>
      <diagonal/>
    </border>
    <border>
      <left style="hair">
        <color indexed="64"/>
      </left>
      <right style="thin">
        <color indexed="64"/>
      </right>
      <top style="dotted">
        <color indexed="64"/>
      </top>
      <bottom/>
      <diagonal/>
    </border>
    <border>
      <left style="hair">
        <color indexed="64"/>
      </left>
      <right/>
      <top style="dotted">
        <color indexed="64"/>
      </top>
      <bottom/>
      <diagonal/>
    </border>
    <border>
      <left style="hair">
        <color indexed="64"/>
      </left>
      <right style="double">
        <color indexed="64"/>
      </right>
      <top style="dotted">
        <color indexed="64"/>
      </top>
      <bottom/>
      <diagonal/>
    </border>
    <border>
      <left style="thin">
        <color indexed="64"/>
      </left>
      <right style="hair">
        <color indexed="64"/>
      </right>
      <top style="dotted">
        <color indexed="64"/>
      </top>
      <bottom style="dotted">
        <color indexed="64"/>
      </bottom>
      <diagonal/>
    </border>
    <border>
      <left/>
      <right style="thin">
        <color indexed="64"/>
      </right>
      <top style="dotted">
        <color indexed="64"/>
      </top>
      <bottom style="dotted">
        <color indexed="64"/>
      </bottom>
      <diagonal/>
    </border>
    <border>
      <left/>
      <right/>
      <top style="dotted">
        <color indexed="64"/>
      </top>
      <bottom style="dotted">
        <color indexed="64"/>
      </bottom>
      <diagonal/>
    </border>
    <border>
      <left/>
      <right style="double">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top style="dotted">
        <color indexed="64"/>
      </top>
      <bottom style="thin">
        <color indexed="64"/>
      </bottom>
      <diagonal/>
    </border>
    <border>
      <left/>
      <right style="double">
        <color indexed="64"/>
      </right>
      <top style="dotted">
        <color indexed="64"/>
      </top>
      <bottom style="thin">
        <color indexed="64"/>
      </bottom>
      <diagonal/>
    </border>
    <border>
      <left/>
      <right/>
      <top/>
      <bottom style="dotted">
        <color indexed="64"/>
      </bottom>
      <diagonal/>
    </border>
    <border>
      <left style="thin">
        <color indexed="64"/>
      </left>
      <right/>
      <top/>
      <bottom style="dotted">
        <color indexed="64"/>
      </bottom>
      <diagonal/>
    </border>
    <border>
      <left style="hair">
        <color indexed="64"/>
      </left>
      <right style="thin">
        <color indexed="64"/>
      </right>
      <top style="thin">
        <color indexed="64"/>
      </top>
      <bottom style="dotted">
        <color indexed="64"/>
      </bottom>
      <diagonal/>
    </border>
    <border>
      <left style="hair">
        <color indexed="64"/>
      </left>
      <right/>
      <top style="thin">
        <color indexed="64"/>
      </top>
      <bottom style="dotted">
        <color indexed="64"/>
      </bottom>
      <diagonal/>
    </border>
    <border>
      <left style="hair">
        <color indexed="64"/>
      </left>
      <right style="double">
        <color indexed="64"/>
      </right>
      <top style="thin">
        <color indexed="64"/>
      </top>
      <bottom style="dotted">
        <color indexed="64"/>
      </bottom>
      <diagonal/>
    </border>
    <border>
      <left style="hair">
        <color indexed="64"/>
      </left>
      <right style="thin">
        <color indexed="64"/>
      </right>
      <top/>
      <bottom style="thin">
        <color indexed="64"/>
      </bottom>
      <diagonal/>
    </border>
    <border>
      <left style="hair">
        <color indexed="64"/>
      </left>
      <right/>
      <top/>
      <bottom style="thin">
        <color indexed="64"/>
      </bottom>
      <diagonal/>
    </border>
    <border>
      <left style="hair">
        <color indexed="64"/>
      </left>
      <right style="double">
        <color indexed="64"/>
      </right>
      <top/>
      <bottom style="thin">
        <color indexed="64"/>
      </bottom>
      <diagonal/>
    </border>
    <border>
      <left style="thin">
        <color indexed="64"/>
      </left>
      <right/>
      <top style="thin">
        <color indexed="64"/>
      </top>
      <bottom style="dotted">
        <color indexed="64"/>
      </bottom>
      <diagonal/>
    </border>
    <border diagonalUp="1">
      <left style="hair">
        <color indexed="64"/>
      </left>
      <right style="thin">
        <color indexed="64"/>
      </right>
      <top style="thin">
        <color indexed="64"/>
      </top>
      <bottom style="dotted">
        <color indexed="64"/>
      </bottom>
      <diagonal style="thin">
        <color indexed="64"/>
      </diagonal>
    </border>
    <border diagonalUp="1">
      <left style="hair">
        <color indexed="64"/>
      </left>
      <right/>
      <top style="thin">
        <color indexed="64"/>
      </top>
      <bottom style="dotted">
        <color indexed="64"/>
      </bottom>
      <diagonal style="thin">
        <color indexed="64"/>
      </diagonal>
    </border>
    <border diagonalUp="1">
      <left style="hair">
        <color indexed="64"/>
      </left>
      <right style="double">
        <color indexed="64"/>
      </right>
      <top style="thin">
        <color indexed="64"/>
      </top>
      <bottom style="dotted">
        <color indexed="64"/>
      </bottom>
      <diagonal style="thin">
        <color indexed="64"/>
      </diagonal>
    </border>
    <border diagonalUp="1">
      <left style="hair">
        <color indexed="64"/>
      </left>
      <right style="thin">
        <color indexed="64"/>
      </right>
      <top style="dotted">
        <color indexed="64"/>
      </top>
      <bottom style="thin">
        <color indexed="64"/>
      </bottom>
      <diagonal style="thin">
        <color indexed="64"/>
      </diagonal>
    </border>
    <border diagonalUp="1">
      <left style="hair">
        <color indexed="64"/>
      </left>
      <right/>
      <top style="dotted">
        <color indexed="64"/>
      </top>
      <bottom style="thin">
        <color indexed="64"/>
      </bottom>
      <diagonal style="thin">
        <color indexed="64"/>
      </diagonal>
    </border>
    <border diagonalUp="1">
      <left style="hair">
        <color indexed="64"/>
      </left>
      <right style="double">
        <color indexed="64"/>
      </right>
      <top style="dotted">
        <color indexed="64"/>
      </top>
      <bottom style="thin">
        <color indexed="64"/>
      </bottom>
      <diagonal style="thin">
        <color indexed="64"/>
      </diagonal>
    </border>
    <border>
      <left/>
      <right style="thin">
        <color indexed="64"/>
      </right>
      <top/>
      <bottom/>
      <diagonal/>
    </border>
    <border>
      <left/>
      <right style="double">
        <color indexed="64"/>
      </right>
      <top/>
      <bottom/>
      <diagonal/>
    </border>
    <border>
      <left style="thin">
        <color indexed="64"/>
      </left>
      <right style="thin">
        <color indexed="64"/>
      </right>
      <top style="thin">
        <color indexed="64"/>
      </top>
      <bottom/>
      <diagonal/>
    </border>
    <border>
      <left style="double">
        <color indexed="64"/>
      </left>
      <right/>
      <top style="thin">
        <color indexed="64"/>
      </top>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dotted">
        <color indexed="64"/>
      </bottom>
      <diagonal/>
    </border>
    <border>
      <left/>
      <right/>
      <top style="thin">
        <color indexed="64"/>
      </top>
      <bottom style="dotted">
        <color indexed="64"/>
      </bottom>
      <diagonal/>
    </border>
    <border>
      <left/>
      <right style="double">
        <color indexed="64"/>
      </right>
      <top style="thin">
        <color indexed="64"/>
      </top>
      <bottom style="dotted">
        <color indexed="64"/>
      </bottom>
      <diagonal/>
    </border>
    <border>
      <left style="dotted">
        <color indexed="64"/>
      </left>
      <right style="thin">
        <color indexed="64"/>
      </right>
      <top/>
      <bottom style="thin">
        <color indexed="64"/>
      </bottom>
      <diagonal/>
    </border>
    <border>
      <left style="dotted">
        <color indexed="64"/>
      </left>
      <right/>
      <top/>
      <bottom style="thin">
        <color indexed="64"/>
      </bottom>
      <diagonal/>
    </border>
    <border>
      <left style="dotted">
        <color indexed="64"/>
      </left>
      <right style="double">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style="thin">
        <color indexed="64"/>
      </left>
      <right style="hair">
        <color indexed="64"/>
      </right>
      <top style="dotted">
        <color indexed="64"/>
      </top>
      <bottom/>
      <diagonal/>
    </border>
    <border>
      <left style="hair">
        <color indexed="64"/>
      </left>
      <right style="thin">
        <color indexed="64"/>
      </right>
      <top style="dotted">
        <color indexed="64"/>
      </top>
      <bottom style="thin">
        <color indexed="64"/>
      </bottom>
      <diagonal/>
    </border>
    <border>
      <left style="hair">
        <color indexed="64"/>
      </left>
      <right/>
      <top style="dotted">
        <color indexed="64"/>
      </top>
      <bottom style="thin">
        <color indexed="64"/>
      </bottom>
      <diagonal/>
    </border>
    <border>
      <left style="hair">
        <color indexed="64"/>
      </left>
      <right style="double">
        <color indexed="64"/>
      </right>
      <top style="dotted">
        <color indexed="64"/>
      </top>
      <bottom style="thin">
        <color indexed="64"/>
      </bottom>
      <diagonal/>
    </border>
    <border>
      <left style="double">
        <color indexed="64"/>
      </left>
      <right style="thin">
        <color indexed="64"/>
      </right>
      <top/>
      <bottom style="thin">
        <color indexed="64"/>
      </bottom>
      <diagonal/>
    </border>
    <border>
      <left style="dotted">
        <color indexed="64"/>
      </left>
      <right style="dotted">
        <color indexed="64"/>
      </right>
      <top style="dotted">
        <color indexed="64"/>
      </top>
      <bottom style="thin">
        <color indexed="64"/>
      </bottom>
      <diagonal/>
    </border>
    <border>
      <left style="thin">
        <color indexed="64"/>
      </left>
      <right style="dotted">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hair">
        <color indexed="64"/>
      </left>
      <right style="thin">
        <color indexed="64"/>
      </right>
      <top style="double">
        <color indexed="64"/>
      </top>
      <bottom/>
      <diagonal/>
    </border>
    <border>
      <left style="thin">
        <color indexed="64"/>
      </left>
      <right/>
      <top style="double">
        <color indexed="64"/>
      </top>
      <bottom/>
      <diagonal/>
    </border>
    <border>
      <left style="hair">
        <color indexed="64"/>
      </left>
      <right style="thin">
        <color indexed="64"/>
      </right>
      <top style="thin">
        <color indexed="64"/>
      </top>
      <bottom style="double">
        <color indexed="64"/>
      </bottom>
      <diagonal/>
    </border>
    <border>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style="double">
        <color indexed="64"/>
      </top>
      <bottom/>
      <diagonal/>
    </border>
    <border>
      <left/>
      <right style="thin">
        <color indexed="64"/>
      </right>
      <top style="double">
        <color indexed="64"/>
      </top>
      <bottom/>
      <diagonal/>
    </border>
    <border>
      <left/>
      <right style="double">
        <color indexed="64"/>
      </right>
      <top style="double">
        <color indexed="64"/>
      </top>
      <bottom/>
      <diagonal/>
    </border>
    <border>
      <left/>
      <right style="thin">
        <color indexed="64"/>
      </right>
      <top/>
      <bottom style="dotted">
        <color indexed="64"/>
      </bottom>
      <diagonal/>
    </border>
    <border>
      <left style="dotted">
        <color indexed="64"/>
      </left>
      <right style="thin">
        <color indexed="64"/>
      </right>
      <top style="dotted">
        <color indexed="64"/>
      </top>
      <bottom/>
      <diagonal/>
    </border>
    <border>
      <left style="dotted">
        <color indexed="64"/>
      </left>
      <right/>
      <top style="dotted">
        <color indexed="64"/>
      </top>
      <bottom/>
      <diagonal/>
    </border>
    <border>
      <left style="dotted">
        <color indexed="64"/>
      </left>
      <right style="double">
        <color indexed="64"/>
      </right>
      <top style="dotted">
        <color indexed="64"/>
      </top>
      <bottom/>
      <diagonal/>
    </border>
    <border>
      <left style="dotted">
        <color indexed="64"/>
      </left>
      <right style="thin">
        <color indexed="64"/>
      </right>
      <top style="dotted">
        <color indexed="64"/>
      </top>
      <bottom style="thin">
        <color indexed="64"/>
      </bottom>
      <diagonal/>
    </border>
    <border>
      <left style="dotted">
        <color indexed="64"/>
      </left>
      <right/>
      <top style="dotted">
        <color indexed="64"/>
      </top>
      <bottom style="thin">
        <color indexed="64"/>
      </bottom>
      <diagonal/>
    </border>
    <border>
      <left style="dotted">
        <color indexed="64"/>
      </left>
      <right style="double">
        <color indexed="64"/>
      </right>
      <top style="dotted">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style="dotted">
        <color indexed="64"/>
      </right>
      <top style="double">
        <color indexed="64"/>
      </top>
      <bottom/>
      <diagonal/>
    </border>
    <border>
      <left style="dotted">
        <color indexed="64"/>
      </left>
      <right style="thin">
        <color indexed="64"/>
      </right>
      <top style="double">
        <color indexed="64"/>
      </top>
      <bottom style="dotted">
        <color indexed="64"/>
      </bottom>
      <diagonal/>
    </border>
    <border>
      <left style="thin">
        <color indexed="64"/>
      </left>
      <right/>
      <top style="double">
        <color indexed="64"/>
      </top>
      <bottom style="dotted">
        <color indexed="64"/>
      </bottom>
      <diagonal/>
    </border>
    <border>
      <left/>
      <right style="thin">
        <color indexed="64"/>
      </right>
      <top style="double">
        <color indexed="64"/>
      </top>
      <bottom style="dotted">
        <color indexed="64"/>
      </bottom>
      <diagonal/>
    </border>
    <border>
      <left/>
      <right style="double">
        <color indexed="64"/>
      </right>
      <top style="double">
        <color indexed="64"/>
      </top>
      <bottom style="dotted">
        <color indexed="64"/>
      </bottom>
      <diagonal/>
    </border>
    <border>
      <left/>
      <right style="dotted">
        <color indexed="64"/>
      </right>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s>
  <cellStyleXfs count="7">
    <xf numFmtId="0" fontId="0" fillId="0" borderId="0"/>
    <xf numFmtId="38"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alignment vertical="center"/>
    </xf>
    <xf numFmtId="0" fontId="1" fillId="0" borderId="0"/>
    <xf numFmtId="0" fontId="1" fillId="0" borderId="0">
      <alignment vertical="center"/>
    </xf>
  </cellStyleXfs>
  <cellXfs count="590">
    <xf numFmtId="0" fontId="0" fillId="0" borderId="0" xfId="0"/>
    <xf numFmtId="0" fontId="2" fillId="0" borderId="0" xfId="0" applyFont="1" applyAlignment="1">
      <alignment horizontal="center"/>
    </xf>
    <xf numFmtId="0" fontId="3" fillId="0" borderId="0" xfId="0" applyFont="1"/>
    <xf numFmtId="0" fontId="4" fillId="0" borderId="0" xfId="0" applyFont="1" applyAlignment="1">
      <alignment horizontal="center"/>
    </xf>
    <xf numFmtId="0" fontId="4" fillId="0" borderId="0" xfId="0" applyFont="1"/>
    <xf numFmtId="0" fontId="0" fillId="0" borderId="0" xfId="0" applyAlignment="1">
      <alignment horizontal="center"/>
    </xf>
    <xf numFmtId="0" fontId="4" fillId="0" borderId="0" xfId="0" applyFont="1" applyAlignment="1">
      <alignment horizontal="center" vertical="center"/>
    </xf>
    <xf numFmtId="0" fontId="5" fillId="0" borderId="0" xfId="0" applyFont="1" applyBorder="1" applyAlignment="1">
      <alignment vertical="center"/>
    </xf>
    <xf numFmtId="0" fontId="2" fillId="0" borderId="0" xfId="0" applyFont="1" applyFill="1" applyBorder="1" applyAlignment="1">
      <alignment vertical="center"/>
    </xf>
    <xf numFmtId="0" fontId="3" fillId="0" borderId="0" xfId="0" applyFont="1" applyBorder="1" applyAlignment="1">
      <alignment horizontal="distributed" vertical="center"/>
    </xf>
    <xf numFmtId="0" fontId="7" fillId="0" borderId="0" xfId="0" applyFont="1" applyBorder="1" applyAlignment="1">
      <alignment vertical="center"/>
    </xf>
    <xf numFmtId="0" fontId="2" fillId="0" borderId="0" xfId="0" applyFont="1" applyBorder="1" applyAlignment="1">
      <alignment vertical="center"/>
    </xf>
    <xf numFmtId="14" fontId="6" fillId="0" borderId="0" xfId="0" applyNumberFormat="1" applyFont="1" applyAlignment="1">
      <alignment horizontal="center" vertical="center"/>
    </xf>
    <xf numFmtId="14" fontId="0" fillId="0" borderId="0" xfId="0" applyNumberFormat="1" applyFont="1" applyAlignment="1">
      <alignment horizontal="left" vertical="center"/>
    </xf>
    <xf numFmtId="0" fontId="0" fillId="2" borderId="1" xfId="0" applyFill="1" applyBorder="1" applyAlignment="1">
      <alignment horizontal="center" vertical="center"/>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shrinkToFit="1"/>
    </xf>
    <xf numFmtId="0" fontId="3" fillId="0" borderId="2" xfId="0" applyFont="1" applyBorder="1" applyAlignment="1">
      <alignment horizontal="center" vertical="center"/>
    </xf>
    <xf numFmtId="0" fontId="7" fillId="0" borderId="3"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4" fillId="0" borderId="1" xfId="0" applyFont="1" applyFill="1" applyBorder="1" applyAlignment="1">
      <alignment horizontal="center" vertical="center"/>
    </xf>
    <xf numFmtId="0" fontId="0" fillId="0" borderId="5" xfId="0" applyFill="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6" xfId="0" applyFont="1" applyBorder="1" applyAlignment="1">
      <alignment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4" fillId="0" borderId="7" xfId="0" applyFont="1" applyBorder="1" applyAlignment="1">
      <alignment horizontal="center" vertical="center"/>
    </xf>
    <xf numFmtId="0" fontId="4" fillId="0" borderId="0" xfId="0" applyFont="1" applyAlignment="1">
      <alignment vertical="center"/>
    </xf>
    <xf numFmtId="0" fontId="3" fillId="0" borderId="9" xfId="0" applyFont="1" applyBorder="1" applyAlignment="1">
      <alignment horizontal="distributed" vertical="center"/>
    </xf>
    <xf numFmtId="0" fontId="2" fillId="0" borderId="10" xfId="0" applyNumberFormat="1" applyFont="1" applyBorder="1" applyAlignment="1">
      <alignment vertical="center"/>
    </xf>
    <xf numFmtId="0" fontId="2" fillId="0" borderId="11" xfId="0" applyNumberFormat="1" applyFont="1" applyBorder="1" applyAlignment="1">
      <alignment vertical="center"/>
    </xf>
    <xf numFmtId="0" fontId="2" fillId="0" borderId="12" xfId="0" applyNumberFormat="1" applyFont="1" applyBorder="1" applyAlignment="1">
      <alignment vertical="center"/>
    </xf>
    <xf numFmtId="0" fontId="4" fillId="0" borderId="1" xfId="0" applyFont="1"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14" xfId="0" applyBorder="1" applyAlignment="1">
      <alignment horizontal="center" vertical="center"/>
    </xf>
    <xf numFmtId="0" fontId="1" fillId="0" borderId="13" xfId="0" applyFont="1" applyBorder="1" applyAlignment="1">
      <alignment vertical="center"/>
    </xf>
    <xf numFmtId="0" fontId="1" fillId="0" borderId="13" xfId="0" applyFont="1" applyBorder="1" applyAlignment="1">
      <alignment horizontal="center" vertical="center"/>
    </xf>
    <xf numFmtId="0" fontId="1" fillId="0" borderId="1" xfId="0" applyFont="1" applyBorder="1" applyAlignment="1">
      <alignment horizontal="center" vertical="center"/>
    </xf>
    <xf numFmtId="0" fontId="3" fillId="0" borderId="15" xfId="0" applyFont="1" applyBorder="1" applyAlignment="1">
      <alignment horizontal="distributed" vertical="center"/>
    </xf>
    <xf numFmtId="0" fontId="2" fillId="0" borderId="13" xfId="0" applyNumberFormat="1" applyFont="1" applyBorder="1" applyAlignment="1">
      <alignment vertical="center"/>
    </xf>
    <xf numFmtId="0" fontId="2" fillId="0" borderId="14" xfId="0" applyNumberFormat="1" applyFont="1" applyBorder="1" applyAlignment="1">
      <alignment vertical="center"/>
    </xf>
    <xf numFmtId="0" fontId="2" fillId="0" borderId="16" xfId="0" applyNumberFormat="1" applyFont="1" applyBorder="1" applyAlignment="1">
      <alignment vertical="center"/>
    </xf>
    <xf numFmtId="0" fontId="0" fillId="0" borderId="0" xfId="0" applyFill="1" applyAlignment="1">
      <alignment horizontal="center" vertical="center"/>
    </xf>
    <xf numFmtId="0" fontId="0" fillId="0" borderId="0" xfId="0" applyFill="1" applyAlignment="1">
      <alignment horizontal="center"/>
    </xf>
    <xf numFmtId="0" fontId="0" fillId="0" borderId="13" xfId="0" applyFont="1" applyBorder="1" applyAlignment="1">
      <alignment vertical="center"/>
    </xf>
    <xf numFmtId="0" fontId="4" fillId="0" borderId="0" xfId="0" applyFont="1" applyAlignment="1">
      <alignment horizontal="center" vertical="center" wrapText="1"/>
    </xf>
    <xf numFmtId="0" fontId="4" fillId="0" borderId="0" xfId="0" applyFont="1" applyAlignment="1">
      <alignment vertical="center" wrapText="1"/>
    </xf>
    <xf numFmtId="0" fontId="3" fillId="0" borderId="17" xfId="0" applyFont="1" applyBorder="1" applyAlignment="1">
      <alignment horizontal="distributed" vertical="center"/>
    </xf>
    <xf numFmtId="0" fontId="2" fillId="0" borderId="18" xfId="0" applyNumberFormat="1" applyFont="1" applyBorder="1" applyAlignment="1">
      <alignment vertical="center"/>
    </xf>
    <xf numFmtId="0" fontId="2" fillId="0" borderId="19" xfId="0" applyNumberFormat="1" applyFont="1" applyBorder="1" applyAlignment="1">
      <alignment vertical="center"/>
    </xf>
    <xf numFmtId="0" fontId="2" fillId="0" borderId="20" xfId="0" applyNumberFormat="1" applyFont="1" applyBorder="1" applyAlignment="1">
      <alignment vertical="center"/>
    </xf>
    <xf numFmtId="0" fontId="8" fillId="0" borderId="0" xfId="0" applyFont="1" applyAlignment="1">
      <alignment horizontal="center" vertical="center"/>
    </xf>
    <xf numFmtId="0" fontId="4" fillId="0" borderId="1" xfId="0" applyFont="1" applyBorder="1" applyAlignment="1">
      <alignment horizontal="center" vertical="center" wrapText="1"/>
    </xf>
    <xf numFmtId="0" fontId="0" fillId="0" borderId="1" xfId="0" applyFill="1" applyBorder="1" applyAlignment="1">
      <alignment horizontal="center" vertical="center"/>
    </xf>
    <xf numFmtId="0" fontId="4" fillId="0" borderId="13" xfId="0" applyFont="1" applyBorder="1" applyAlignment="1">
      <alignment horizontal="center" vertical="center"/>
    </xf>
    <xf numFmtId="0" fontId="4" fillId="0" borderId="0" xfId="0" applyFont="1" applyBorder="1" applyAlignment="1">
      <alignment horizontal="center" vertical="center" wrapText="1"/>
    </xf>
    <xf numFmtId="0" fontId="0" fillId="0" borderId="1" xfId="0" applyFont="1" applyBorder="1" applyAlignment="1">
      <alignment horizontal="center" vertical="center"/>
    </xf>
    <xf numFmtId="0" fontId="0" fillId="0" borderId="14" xfId="0" applyFill="1" applyBorder="1" applyAlignment="1">
      <alignment horizontal="center" vertical="center"/>
    </xf>
    <xf numFmtId="0" fontId="4" fillId="0" borderId="13" xfId="0" applyFont="1" applyBorder="1" applyAlignment="1">
      <alignment horizontal="center" vertical="center" wrapText="1"/>
    </xf>
    <xf numFmtId="0" fontId="0" fillId="0" borderId="1" xfId="0" applyFill="1" applyBorder="1" applyAlignment="1">
      <alignment horizontal="center"/>
    </xf>
    <xf numFmtId="0" fontId="4" fillId="0" borderId="30" xfId="0" applyFont="1" applyBorder="1" applyAlignment="1">
      <alignment horizontal="center" vertical="center"/>
    </xf>
    <xf numFmtId="0" fontId="3" fillId="0" borderId="13" xfId="0" applyFont="1" applyBorder="1" applyAlignment="1">
      <alignment horizontal="left" vertical="center" indent="1"/>
    </xf>
    <xf numFmtId="0" fontId="3" fillId="0" borderId="29" xfId="0" applyFont="1" applyBorder="1" applyAlignment="1">
      <alignment horizontal="center" vertical="center"/>
    </xf>
    <xf numFmtId="0" fontId="3" fillId="0" borderId="14" xfId="0" applyFont="1" applyBorder="1" applyAlignment="1">
      <alignment horizontal="center" vertical="center"/>
    </xf>
    <xf numFmtId="0" fontId="3" fillId="0" borderId="27" xfId="0" applyFont="1" applyBorder="1" applyAlignment="1">
      <alignment horizontal="center" vertical="center"/>
    </xf>
    <xf numFmtId="0" fontId="4" fillId="0" borderId="0" xfId="0" applyFont="1" applyBorder="1" applyAlignment="1">
      <alignment vertical="center" wrapText="1"/>
    </xf>
    <xf numFmtId="0" fontId="4" fillId="0" borderId="0" xfId="0" applyFont="1" applyBorder="1" applyAlignment="1">
      <alignment horizontal="center" vertical="center"/>
    </xf>
    <xf numFmtId="0" fontId="9" fillId="0" borderId="29" xfId="0" applyFont="1" applyBorder="1" applyAlignment="1">
      <alignment vertical="center"/>
    </xf>
    <xf numFmtId="164" fontId="10" fillId="0" borderId="13" xfId="0" applyNumberFormat="1" applyFont="1" applyBorder="1" applyAlignment="1">
      <alignment horizontal="center" vertical="center" shrinkToFit="1"/>
    </xf>
    <xf numFmtId="164" fontId="3" fillId="0" borderId="29" xfId="0" applyNumberFormat="1" applyFont="1" applyBorder="1" applyAlignment="1">
      <alignment horizontal="center" vertical="center" shrinkToFit="1"/>
    </xf>
    <xf numFmtId="164" fontId="3" fillId="0" borderId="14" xfId="0" applyNumberFormat="1" applyFont="1" applyBorder="1" applyAlignment="1">
      <alignment horizontal="center" vertical="center" shrinkToFit="1"/>
    </xf>
    <xf numFmtId="164" fontId="3" fillId="0" borderId="27" xfId="0" applyNumberFormat="1" applyFont="1" applyBorder="1" applyAlignment="1">
      <alignment horizontal="center" vertical="center" shrinkToFit="1"/>
    </xf>
    <xf numFmtId="0" fontId="4" fillId="0" borderId="0" xfId="0" applyFont="1" applyBorder="1" applyAlignment="1">
      <alignment vertical="center"/>
    </xf>
    <xf numFmtId="164" fontId="3" fillId="0" borderId="13" xfId="0" applyNumberFormat="1" applyFont="1" applyBorder="1" applyAlignment="1">
      <alignment horizontal="center" vertical="center"/>
    </xf>
    <xf numFmtId="165" fontId="10" fillId="0" borderId="29" xfId="0" applyNumberFormat="1" applyFont="1" applyBorder="1" applyAlignment="1">
      <alignment horizontal="center" vertical="center"/>
    </xf>
    <xf numFmtId="165" fontId="10" fillId="0" borderId="14" xfId="0" applyNumberFormat="1" applyFont="1" applyBorder="1" applyAlignment="1">
      <alignment horizontal="center" vertical="center"/>
    </xf>
    <xf numFmtId="165" fontId="10" fillId="0" borderId="27" xfId="0" applyNumberFormat="1" applyFont="1" applyBorder="1" applyAlignment="1">
      <alignment horizontal="center" vertical="center"/>
    </xf>
    <xf numFmtId="0" fontId="6" fillId="3" borderId="31" xfId="0" applyFont="1" applyFill="1" applyBorder="1" applyAlignment="1">
      <alignment horizontal="left" vertical="center"/>
    </xf>
    <xf numFmtId="0" fontId="3" fillId="3" borderId="32" xfId="0" applyFont="1" applyFill="1" applyBorder="1" applyAlignment="1">
      <alignment vertical="center"/>
    </xf>
    <xf numFmtId="0" fontId="3" fillId="3" borderId="33" xfId="0" applyFont="1" applyFill="1" applyBorder="1" applyAlignment="1">
      <alignment horizontal="left" vertical="center"/>
    </xf>
    <xf numFmtId="0" fontId="11" fillId="3" borderId="7" xfId="0" applyFont="1" applyFill="1" applyBorder="1" applyAlignment="1">
      <alignment vertical="center"/>
    </xf>
    <xf numFmtId="0" fontId="3" fillId="0" borderId="13" xfId="0" applyFont="1" applyBorder="1" applyAlignment="1">
      <alignment horizontal="center" vertical="center" wrapText="1"/>
    </xf>
    <xf numFmtId="0" fontId="3" fillId="0" borderId="34" xfId="0" applyFont="1" applyBorder="1" applyAlignment="1">
      <alignment horizontal="center" vertical="center" wrapText="1"/>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6" fillId="0" borderId="0" xfId="0" applyFont="1" applyBorder="1" applyAlignment="1">
      <alignment vertical="center"/>
    </xf>
    <xf numFmtId="0" fontId="3" fillId="3" borderId="37" xfId="0" applyFont="1" applyFill="1" applyBorder="1" applyAlignment="1">
      <alignment vertical="center"/>
    </xf>
    <xf numFmtId="0" fontId="3" fillId="0" borderId="38" xfId="0" applyFont="1" applyBorder="1" applyAlignment="1">
      <alignment horizontal="center" vertical="center" wrapText="1"/>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41" xfId="0" applyFont="1" applyBorder="1" applyAlignment="1">
      <alignment horizontal="center" vertical="center" wrapText="1"/>
    </xf>
    <xf numFmtId="0" fontId="4" fillId="0" borderId="0" xfId="0" applyFont="1" applyBorder="1" applyAlignment="1">
      <alignment horizontal="center" vertical="center" shrinkToFit="1"/>
    </xf>
    <xf numFmtId="0" fontId="2" fillId="3" borderId="31" xfId="0" applyFont="1" applyFill="1" applyBorder="1" applyAlignment="1">
      <alignment horizontal="left" vertical="center"/>
    </xf>
    <xf numFmtId="0" fontId="3" fillId="3" borderId="33" xfId="0" applyFont="1" applyFill="1" applyBorder="1" applyAlignment="1">
      <alignment horizontal="distributed" vertical="center"/>
    </xf>
    <xf numFmtId="0" fontId="3" fillId="3" borderId="42" xfId="0" applyFont="1" applyFill="1" applyBorder="1" applyAlignment="1">
      <alignment vertical="center"/>
    </xf>
    <xf numFmtId="0" fontId="3" fillId="0" borderId="43" xfId="0" applyFont="1" applyBorder="1" applyAlignment="1">
      <alignment horizontal="center" vertical="center"/>
    </xf>
    <xf numFmtId="0" fontId="3" fillId="0" borderId="44" xfId="0" applyFont="1" applyBorder="1" applyAlignment="1">
      <alignment horizontal="center" vertical="center"/>
    </xf>
    <xf numFmtId="0" fontId="3" fillId="0" borderId="43" xfId="0" applyFont="1" applyBorder="1" applyAlignment="1">
      <alignment vertical="center"/>
    </xf>
    <xf numFmtId="0" fontId="3" fillId="0" borderId="45" xfId="0" applyFont="1" applyBorder="1" applyAlignment="1">
      <alignment vertical="center"/>
    </xf>
    <xf numFmtId="0" fontId="3" fillId="0" borderId="46" xfId="0" applyFont="1" applyBorder="1" applyAlignment="1">
      <alignment vertical="center"/>
    </xf>
    <xf numFmtId="0" fontId="3" fillId="3" borderId="47" xfId="0" applyFont="1" applyFill="1" applyBorder="1" applyAlignment="1">
      <alignment vertical="center"/>
    </xf>
    <xf numFmtId="0" fontId="3" fillId="0" borderId="48" xfId="0" applyFont="1" applyBorder="1" applyAlignment="1">
      <alignment horizontal="center" vertical="center"/>
    </xf>
    <xf numFmtId="0" fontId="3" fillId="0" borderId="49" xfId="0" applyFont="1" applyBorder="1" applyAlignment="1">
      <alignment horizontal="center" vertical="center"/>
    </xf>
    <xf numFmtId="0" fontId="3" fillId="0" borderId="48" xfId="0" applyFont="1" applyBorder="1" applyAlignment="1">
      <alignment vertical="center"/>
    </xf>
    <xf numFmtId="0" fontId="3" fillId="0" borderId="50" xfId="0" applyFont="1" applyBorder="1" applyAlignment="1">
      <alignment vertical="center"/>
    </xf>
    <xf numFmtId="0" fontId="3" fillId="0" borderId="51" xfId="0" applyFont="1" applyBorder="1" applyAlignment="1">
      <alignment vertical="center"/>
    </xf>
    <xf numFmtId="0" fontId="3" fillId="0" borderId="45" xfId="0" applyFont="1" applyBorder="1" applyAlignment="1">
      <alignment horizontal="center" vertical="center"/>
    </xf>
    <xf numFmtId="0" fontId="3" fillId="0" borderId="46" xfId="0" applyFont="1" applyBorder="1" applyAlignment="1">
      <alignment horizontal="center" vertical="center"/>
    </xf>
    <xf numFmtId="0" fontId="3" fillId="0" borderId="52" xfId="0" applyFont="1" applyBorder="1" applyAlignment="1">
      <alignment horizontal="center" vertical="center"/>
    </xf>
    <xf numFmtId="0" fontId="3" fillId="0" borderId="53" xfId="0" applyFont="1" applyBorder="1" applyAlignment="1">
      <alignment horizontal="center" vertical="center"/>
    </xf>
    <xf numFmtId="0" fontId="3" fillId="0" borderId="54" xfId="0" applyFont="1" applyBorder="1" applyAlignment="1">
      <alignment horizontal="center" vertical="center"/>
    </xf>
    <xf numFmtId="0" fontId="3" fillId="0" borderId="55" xfId="0" applyFont="1" applyBorder="1" applyAlignment="1">
      <alignment horizontal="center" vertical="center"/>
    </xf>
    <xf numFmtId="0" fontId="3" fillId="3" borderId="7" xfId="0" applyFont="1" applyFill="1" applyBorder="1" applyAlignment="1">
      <alignment horizontal="distributed" vertical="center"/>
    </xf>
    <xf numFmtId="0" fontId="3" fillId="3" borderId="56" xfId="0" applyFont="1" applyFill="1" applyBorder="1" applyAlignment="1">
      <alignment vertical="center"/>
    </xf>
    <xf numFmtId="0" fontId="2" fillId="3" borderId="31" xfId="0" applyFont="1" applyFill="1" applyBorder="1" applyAlignment="1">
      <alignment horizontal="center" vertical="center"/>
    </xf>
    <xf numFmtId="0" fontId="0" fillId="3" borderId="32" xfId="0" applyFill="1" applyBorder="1" applyAlignment="1">
      <alignment vertical="center"/>
    </xf>
    <xf numFmtId="0" fontId="3" fillId="3" borderId="33" xfId="0" applyFont="1" applyFill="1" applyBorder="1" applyAlignment="1">
      <alignment vertical="center"/>
    </xf>
    <xf numFmtId="0" fontId="3" fillId="3" borderId="61" xfId="0" applyFont="1" applyFill="1" applyBorder="1" applyAlignment="1">
      <alignment horizontal="right" vertical="center" wrapText="1"/>
    </xf>
    <xf numFmtId="40" fontId="10" fillId="0" borderId="62" xfId="0" applyNumberFormat="1" applyFont="1" applyBorder="1" applyAlignment="1">
      <alignment horizontal="center" vertical="center"/>
    </xf>
    <xf numFmtId="40" fontId="10" fillId="0" borderId="63" xfId="0" applyNumberFormat="1" applyFont="1" applyBorder="1" applyAlignment="1">
      <alignment horizontal="center" vertical="center"/>
    </xf>
    <xf numFmtId="40" fontId="10" fillId="0" borderId="64" xfId="0" applyNumberFormat="1" applyFont="1" applyBorder="1" applyAlignment="1">
      <alignment horizontal="center" vertical="center"/>
    </xf>
    <xf numFmtId="40" fontId="10" fillId="0" borderId="65" xfId="0" applyNumberFormat="1" applyFont="1" applyBorder="1" applyAlignment="1">
      <alignment horizontal="center" vertical="center"/>
    </xf>
    <xf numFmtId="0" fontId="12" fillId="0" borderId="0" xfId="0" applyFont="1" applyBorder="1" applyAlignment="1">
      <alignment horizontal="center" vertical="center"/>
    </xf>
    <xf numFmtId="0" fontId="3" fillId="3" borderId="57" xfId="0" applyFont="1" applyFill="1" applyBorder="1" applyAlignment="1">
      <alignment vertical="center"/>
    </xf>
    <xf numFmtId="0" fontId="3" fillId="3" borderId="58" xfId="0" applyFont="1" applyFill="1" applyBorder="1" applyAlignment="1">
      <alignment horizontal="right" vertical="center" wrapText="1"/>
    </xf>
    <xf numFmtId="40" fontId="10" fillId="0" borderId="6" xfId="0" applyNumberFormat="1" applyFont="1" applyBorder="1" applyAlignment="1">
      <alignment horizontal="center" vertical="center"/>
    </xf>
    <xf numFmtId="40" fontId="10" fillId="0" borderId="66" xfId="0" applyNumberFormat="1" applyFont="1" applyBorder="1" applyAlignment="1">
      <alignment horizontal="center" vertical="center"/>
    </xf>
    <xf numFmtId="40" fontId="10" fillId="0" borderId="67" xfId="0" applyNumberFormat="1" applyFont="1" applyBorder="1" applyAlignment="1">
      <alignment horizontal="center" vertical="center"/>
    </xf>
    <xf numFmtId="40" fontId="10" fillId="0" borderId="68"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3" borderId="33" xfId="0" applyFill="1" applyBorder="1" applyAlignment="1">
      <alignment vertical="center"/>
    </xf>
    <xf numFmtId="40" fontId="10" fillId="0" borderId="69" xfId="0" applyNumberFormat="1" applyFont="1" applyBorder="1" applyAlignment="1">
      <alignment horizontal="center" vertical="center"/>
    </xf>
    <xf numFmtId="40" fontId="10" fillId="0" borderId="70" xfId="0" applyNumberFormat="1" applyFont="1" applyBorder="1" applyAlignment="1">
      <alignment horizontal="center" vertical="center"/>
    </xf>
    <xf numFmtId="40" fontId="10" fillId="0" borderId="71" xfId="0" applyNumberFormat="1" applyFont="1" applyBorder="1" applyAlignment="1">
      <alignment horizontal="center" vertical="center"/>
    </xf>
    <xf numFmtId="40" fontId="10" fillId="0" borderId="72" xfId="0" applyNumberFormat="1" applyFont="1" applyBorder="1" applyAlignment="1">
      <alignment horizontal="center" vertical="center"/>
    </xf>
    <xf numFmtId="0" fontId="3" fillId="0" borderId="0" xfId="0" applyFont="1" applyFill="1" applyBorder="1" applyAlignment="1">
      <alignment horizontal="center" vertical="center"/>
    </xf>
    <xf numFmtId="40" fontId="10" fillId="0" borderId="57" xfId="0" applyNumberFormat="1" applyFont="1" applyBorder="1" applyAlignment="1">
      <alignment horizontal="center" vertical="center"/>
    </xf>
    <xf numFmtId="40" fontId="10" fillId="0" borderId="73" xfId="0" applyNumberFormat="1" applyFont="1" applyBorder="1" applyAlignment="1">
      <alignment horizontal="center" vertical="center"/>
    </xf>
    <xf numFmtId="40" fontId="10" fillId="0" borderId="74" xfId="0" applyNumberFormat="1" applyFont="1" applyBorder="1" applyAlignment="1">
      <alignment horizontal="center" vertical="center"/>
    </xf>
    <xf numFmtId="40" fontId="10" fillId="0" borderId="75" xfId="0" applyNumberFormat="1" applyFont="1" applyBorder="1" applyAlignment="1">
      <alignment horizontal="center" vertical="center"/>
    </xf>
    <xf numFmtId="166"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Border="1" applyAlignment="1">
      <alignment horizontal="center" vertical="center"/>
    </xf>
    <xf numFmtId="0" fontId="2" fillId="3" borderId="31" xfId="0" applyFont="1" applyFill="1" applyBorder="1" applyAlignment="1">
      <alignment horizontal="center" vertical="top" wrapText="1"/>
    </xf>
    <xf numFmtId="0" fontId="3" fillId="3" borderId="6" xfId="0" applyFont="1" applyFill="1" applyBorder="1" applyAlignment="1">
      <alignment horizontal="left" vertical="top" wrapText="1"/>
    </xf>
    <xf numFmtId="0" fontId="3" fillId="3" borderId="8" xfId="0" applyFont="1" applyFill="1" applyBorder="1" applyAlignment="1">
      <alignment vertical="center"/>
    </xf>
    <xf numFmtId="0" fontId="3" fillId="3" borderId="8" xfId="0" applyFont="1" applyFill="1" applyBorder="1" applyAlignment="1">
      <alignment horizontal="right" vertical="center" wrapText="1"/>
    </xf>
    <xf numFmtId="40" fontId="8" fillId="0" borderId="33" xfId="1" applyNumberFormat="1" applyFont="1" applyBorder="1" applyAlignment="1">
      <alignment horizontal="center" vertical="center"/>
    </xf>
    <xf numFmtId="40" fontId="2" fillId="0" borderId="76" xfId="1" applyNumberFormat="1" applyFont="1" applyBorder="1" applyAlignment="1">
      <alignment horizontal="center" vertical="center"/>
    </xf>
    <xf numFmtId="40" fontId="2" fillId="0" borderId="0" xfId="1" applyNumberFormat="1" applyFont="1" applyBorder="1" applyAlignment="1">
      <alignment horizontal="center" vertical="center"/>
    </xf>
    <xf numFmtId="40" fontId="2" fillId="0" borderId="77" xfId="1" applyNumberFormat="1" applyFont="1" applyBorder="1" applyAlignment="1">
      <alignment horizontal="center" vertical="center"/>
    </xf>
    <xf numFmtId="0" fontId="3" fillId="3" borderId="78" xfId="0" applyFont="1" applyFill="1" applyBorder="1" applyAlignment="1">
      <alignment vertical="center" wrapText="1"/>
    </xf>
    <xf numFmtId="0" fontId="3" fillId="3" borderId="13" xfId="0" applyFont="1" applyFill="1" applyBorder="1" applyAlignment="1">
      <alignment vertical="center"/>
    </xf>
    <xf numFmtId="40" fontId="10" fillId="0" borderId="13" xfId="1" applyNumberFormat="1" applyFont="1" applyBorder="1" applyAlignment="1">
      <alignment horizontal="center" vertical="center"/>
    </xf>
    <xf numFmtId="40" fontId="10" fillId="0" borderId="29" xfId="1" applyNumberFormat="1" applyFont="1" applyBorder="1" applyAlignment="1">
      <alignment horizontal="center" vertical="center"/>
    </xf>
    <xf numFmtId="40" fontId="10" fillId="0" borderId="14" xfId="1" applyNumberFormat="1" applyFont="1" applyBorder="1" applyAlignment="1">
      <alignment horizontal="center" vertical="center"/>
    </xf>
    <xf numFmtId="40" fontId="10" fillId="0" borderId="27" xfId="1" applyNumberFormat="1" applyFont="1" applyBorder="1" applyAlignment="1">
      <alignment horizontal="center" vertical="center"/>
    </xf>
    <xf numFmtId="0" fontId="3" fillId="3" borderId="7" xfId="0" applyFont="1" applyFill="1" applyBorder="1" applyAlignment="1">
      <alignment vertical="center" wrapText="1"/>
    </xf>
    <xf numFmtId="0" fontId="4" fillId="0" borderId="1" xfId="0" applyFont="1" applyBorder="1" applyAlignment="1">
      <alignment vertical="center"/>
    </xf>
    <xf numFmtId="0" fontId="2" fillId="3" borderId="26" xfId="0" applyFont="1" applyFill="1" applyBorder="1" applyAlignment="1">
      <alignment horizontal="center" vertical="center"/>
    </xf>
    <xf numFmtId="0" fontId="8" fillId="3" borderId="8" xfId="0" applyFont="1" applyFill="1" applyBorder="1" applyAlignment="1">
      <alignment horizontal="right" vertical="center" wrapText="1"/>
    </xf>
    <xf numFmtId="40" fontId="6" fillId="3" borderId="13" xfId="1" applyNumberFormat="1" applyFont="1" applyFill="1" applyBorder="1" applyAlignment="1">
      <alignment horizontal="center" vertical="center"/>
    </xf>
    <xf numFmtId="40" fontId="6" fillId="3" borderId="29" xfId="1" applyNumberFormat="1" applyFont="1" applyFill="1" applyBorder="1" applyAlignment="1">
      <alignment horizontal="center" vertical="center"/>
    </xf>
    <xf numFmtId="40" fontId="6" fillId="3" borderId="14" xfId="1" applyNumberFormat="1" applyFont="1" applyFill="1" applyBorder="1" applyAlignment="1">
      <alignment horizontal="center" vertical="center"/>
    </xf>
    <xf numFmtId="40" fontId="6" fillId="3" borderId="27" xfId="1" applyNumberFormat="1" applyFont="1" applyFill="1" applyBorder="1" applyAlignment="1">
      <alignment horizontal="center" vertical="center"/>
    </xf>
    <xf numFmtId="0" fontId="12" fillId="0" borderId="1" xfId="0" applyFont="1" applyBorder="1" applyAlignment="1">
      <alignment vertical="center"/>
    </xf>
    <xf numFmtId="0" fontId="6" fillId="4" borderId="79" xfId="0" applyFont="1" applyFill="1" applyBorder="1" applyAlignment="1">
      <alignment horizontal="center" vertical="center"/>
    </xf>
    <xf numFmtId="167" fontId="2" fillId="0" borderId="80" xfId="0" applyNumberFormat="1" applyFont="1" applyBorder="1" applyAlignment="1">
      <alignment horizontal="center" vertical="center"/>
    </xf>
    <xf numFmtId="167" fontId="2" fillId="0" borderId="34" xfId="0" applyNumberFormat="1" applyFont="1" applyBorder="1" applyAlignment="1">
      <alignment horizontal="center" vertical="center"/>
    </xf>
    <xf numFmtId="167" fontId="2" fillId="0" borderId="35" xfId="0" applyNumberFormat="1" applyFont="1" applyBorder="1" applyAlignment="1">
      <alignment horizontal="center" vertical="center"/>
    </xf>
    <xf numFmtId="167" fontId="2" fillId="0" borderId="36" xfId="0" applyNumberFormat="1" applyFont="1" applyBorder="1" applyAlignment="1">
      <alignment horizontal="center" vertical="center"/>
    </xf>
    <xf numFmtId="0" fontId="6" fillId="4" borderId="31" xfId="0" applyFont="1" applyFill="1" applyBorder="1" applyAlignment="1">
      <alignment horizontal="center" vertical="center"/>
    </xf>
    <xf numFmtId="0" fontId="3" fillId="4" borderId="81" xfId="0" applyFont="1" applyFill="1" applyBorder="1" applyAlignment="1">
      <alignment vertical="center"/>
    </xf>
    <xf numFmtId="0" fontId="3" fillId="4" borderId="69" xfId="0" applyFont="1" applyFill="1" applyBorder="1" applyAlignment="1">
      <alignment horizontal="distributed" vertical="center"/>
    </xf>
    <xf numFmtId="0" fontId="3" fillId="4" borderId="82" xfId="0" applyFont="1" applyFill="1" applyBorder="1" applyAlignment="1">
      <alignment horizontal="center" vertical="center"/>
    </xf>
    <xf numFmtId="40" fontId="3" fillId="0" borderId="69" xfId="1" applyNumberFormat="1" applyFont="1" applyBorder="1" applyAlignment="1">
      <alignment horizontal="center" vertical="center"/>
    </xf>
    <xf numFmtId="40" fontId="3" fillId="0" borderId="82" xfId="1" applyNumberFormat="1" applyFont="1" applyBorder="1" applyAlignment="1">
      <alignment horizontal="center" vertical="center"/>
    </xf>
    <xf numFmtId="40" fontId="3" fillId="0" borderId="83" xfId="1" applyNumberFormat="1" applyFont="1" applyBorder="1" applyAlignment="1">
      <alignment horizontal="left" vertical="center"/>
    </xf>
    <xf numFmtId="40" fontId="3" fillId="0" borderId="84" xfId="1" applyNumberFormat="1" applyFont="1" applyBorder="1" applyAlignment="1">
      <alignment horizontal="left" vertical="center"/>
    </xf>
    <xf numFmtId="0" fontId="12" fillId="0" borderId="0" xfId="0" applyFont="1" applyBorder="1" applyAlignment="1">
      <alignment vertical="center"/>
    </xf>
    <xf numFmtId="0" fontId="2" fillId="4" borderId="31" xfId="0" applyFont="1" applyFill="1" applyBorder="1" applyAlignment="1">
      <alignment horizontal="center" vertical="center"/>
    </xf>
    <xf numFmtId="0" fontId="3" fillId="4" borderId="33" xfId="0" applyFont="1" applyFill="1" applyBorder="1" applyAlignment="1">
      <alignment vertical="center"/>
    </xf>
    <xf numFmtId="0" fontId="0" fillId="4" borderId="6" xfId="0" applyFont="1" applyFill="1" applyBorder="1" applyAlignment="1">
      <alignment horizontal="center" vertical="center" wrapText="1"/>
    </xf>
    <xf numFmtId="0" fontId="0" fillId="4" borderId="85" xfId="0" applyFont="1" applyFill="1" applyBorder="1" applyAlignment="1">
      <alignment horizontal="center" vertical="center" wrapText="1"/>
    </xf>
    <xf numFmtId="40" fontId="3" fillId="0" borderId="6" xfId="1" applyNumberFormat="1" applyFont="1" applyBorder="1" applyAlignment="1">
      <alignment horizontal="center" vertical="center"/>
    </xf>
    <xf numFmtId="40" fontId="3" fillId="0" borderId="85" xfId="1" applyNumberFormat="1" applyFont="1" applyBorder="1" applyAlignment="1">
      <alignment horizontal="center" vertical="center"/>
    </xf>
    <xf numFmtId="40" fontId="3" fillId="0" borderId="86" xfId="1" applyNumberFormat="1" applyFont="1" applyBorder="1" applyAlignment="1">
      <alignment horizontal="center" vertical="center"/>
    </xf>
    <xf numFmtId="40" fontId="3" fillId="0" borderId="87" xfId="1" applyNumberFormat="1" applyFont="1" applyBorder="1" applyAlignment="1">
      <alignment horizontal="center" vertical="center"/>
    </xf>
    <xf numFmtId="0" fontId="8" fillId="4" borderId="6" xfId="0" applyFont="1" applyFill="1" applyBorder="1" applyAlignment="1">
      <alignment vertical="center"/>
    </xf>
    <xf numFmtId="0" fontId="8" fillId="4" borderId="14" xfId="0" applyFont="1" applyFill="1" applyBorder="1" applyAlignment="1">
      <alignment horizontal="distributed" vertical="center"/>
    </xf>
    <xf numFmtId="0" fontId="8" fillId="4" borderId="5" xfId="0" applyFont="1" applyFill="1" applyBorder="1" applyAlignment="1">
      <alignment horizontal="right" vertical="center" wrapText="1"/>
    </xf>
    <xf numFmtId="40" fontId="13" fillId="0" borderId="13" xfId="1" applyNumberFormat="1" applyFont="1" applyBorder="1" applyAlignment="1">
      <alignment horizontal="center" vertical="center"/>
    </xf>
    <xf numFmtId="40" fontId="2" fillId="0" borderId="29" xfId="1" applyNumberFormat="1" applyFont="1" applyBorder="1" applyAlignment="1">
      <alignment horizontal="center" vertical="center"/>
    </xf>
    <xf numFmtId="40" fontId="2" fillId="0" borderId="14" xfId="1" applyNumberFormat="1" applyFont="1" applyBorder="1" applyAlignment="1">
      <alignment horizontal="center" vertical="center"/>
    </xf>
    <xf numFmtId="40" fontId="2" fillId="0" borderId="27" xfId="1" applyNumberFormat="1" applyFont="1" applyBorder="1" applyAlignment="1">
      <alignment horizontal="center" vertical="center"/>
    </xf>
    <xf numFmtId="40" fontId="3" fillId="0" borderId="82" xfId="1" applyNumberFormat="1" applyFont="1" applyBorder="1" applyAlignment="1">
      <alignment horizontal="left" vertical="center"/>
    </xf>
    <xf numFmtId="0" fontId="0" fillId="0" borderId="0" xfId="0" applyBorder="1" applyAlignment="1">
      <alignment horizontal="center"/>
    </xf>
    <xf numFmtId="168" fontId="13" fillId="0" borderId="13" xfId="0" applyNumberFormat="1" applyFont="1" applyBorder="1" applyAlignment="1">
      <alignment horizontal="center" vertical="center"/>
    </xf>
    <xf numFmtId="166" fontId="2" fillId="0" borderId="29" xfId="0" applyNumberFormat="1" applyFont="1" applyBorder="1" applyAlignment="1">
      <alignment horizontal="center" vertical="center"/>
    </xf>
    <xf numFmtId="166" fontId="2" fillId="0" borderId="14" xfId="0" applyNumberFormat="1" applyFont="1" applyBorder="1" applyAlignment="1">
      <alignment horizontal="center" vertical="center"/>
    </xf>
    <xf numFmtId="166" fontId="2" fillId="0" borderId="27" xfId="0" applyNumberFormat="1" applyFont="1" applyBorder="1" applyAlignment="1">
      <alignment horizontal="center" vertical="center"/>
    </xf>
    <xf numFmtId="0" fontId="6" fillId="4" borderId="26" xfId="0" applyFont="1" applyFill="1" applyBorder="1" applyAlignment="1">
      <alignment horizontal="center" vertical="center"/>
    </xf>
    <xf numFmtId="0" fontId="8" fillId="4" borderId="8" xfId="0" applyFont="1" applyFill="1" applyBorder="1" applyAlignment="1">
      <alignment horizontal="right" vertical="center" wrapText="1"/>
    </xf>
    <xf numFmtId="40" fontId="6" fillId="4" borderId="13" xfId="1" applyNumberFormat="1" applyFont="1" applyFill="1" applyBorder="1" applyAlignment="1">
      <alignment horizontal="center" vertical="center"/>
    </xf>
    <xf numFmtId="40" fontId="6" fillId="4" borderId="29" xfId="1" applyNumberFormat="1" applyFont="1" applyFill="1" applyBorder="1" applyAlignment="1">
      <alignment horizontal="center" vertical="center"/>
    </xf>
    <xf numFmtId="40" fontId="6" fillId="4" borderId="14" xfId="1" applyNumberFormat="1" applyFont="1" applyFill="1" applyBorder="1" applyAlignment="1">
      <alignment horizontal="center" vertical="center"/>
    </xf>
    <xf numFmtId="40" fontId="6" fillId="4" borderId="27" xfId="1" applyNumberFormat="1" applyFont="1" applyFill="1" applyBorder="1" applyAlignment="1">
      <alignment horizontal="center" vertical="center"/>
    </xf>
    <xf numFmtId="0" fontId="8" fillId="5" borderId="82" xfId="0" applyFont="1" applyFill="1" applyBorder="1" applyAlignment="1">
      <alignment horizontal="right" vertical="center" shrinkToFit="1"/>
    </xf>
    <xf numFmtId="169" fontId="10" fillId="0" borderId="38" xfId="0" applyNumberFormat="1" applyFont="1" applyBorder="1" applyAlignment="1">
      <alignment horizontal="center" vertical="center"/>
    </xf>
    <xf numFmtId="40" fontId="10" fillId="0" borderId="39" xfId="1" applyNumberFormat="1" applyFont="1" applyBorder="1" applyAlignment="1">
      <alignment horizontal="center" vertical="center"/>
    </xf>
    <xf numFmtId="40" fontId="10" fillId="0" borderId="40" xfId="1" applyNumberFormat="1" applyFont="1" applyBorder="1" applyAlignment="1">
      <alignment horizontal="center" vertical="center"/>
    </xf>
    <xf numFmtId="40" fontId="10" fillId="0" borderId="41" xfId="1" applyNumberFormat="1" applyFont="1" applyBorder="1" applyAlignment="1">
      <alignment horizontal="center" vertical="center"/>
    </xf>
    <xf numFmtId="0" fontId="8" fillId="5" borderId="53" xfId="0" applyFont="1" applyFill="1" applyBorder="1" applyAlignment="1">
      <alignment horizontal="right" vertical="center" shrinkToFit="1"/>
    </xf>
    <xf numFmtId="169" fontId="10" fillId="0" borderId="52" xfId="0" applyNumberFormat="1" applyFont="1" applyBorder="1" applyAlignment="1">
      <alignment horizontal="center" vertical="center"/>
    </xf>
    <xf numFmtId="40" fontId="10" fillId="0" borderId="49" xfId="1" applyNumberFormat="1" applyFont="1" applyBorder="1" applyAlignment="1">
      <alignment horizontal="center" vertical="center"/>
    </xf>
    <xf numFmtId="169" fontId="10" fillId="0" borderId="90" xfId="0" applyNumberFormat="1" applyFont="1" applyBorder="1" applyAlignment="1">
      <alignment horizontal="center" vertical="center"/>
    </xf>
    <xf numFmtId="40" fontId="10" fillId="0" borderId="50" xfId="1" applyNumberFormat="1" applyFont="1" applyBorder="1" applyAlignment="1">
      <alignment horizontal="center" vertical="center"/>
    </xf>
    <xf numFmtId="40" fontId="10" fillId="0" borderId="51" xfId="1" applyNumberFormat="1" applyFont="1" applyBorder="1" applyAlignment="1">
      <alignment horizontal="center" vertical="center"/>
    </xf>
    <xf numFmtId="0" fontId="2" fillId="5" borderId="31" xfId="0" applyFont="1" applyFill="1" applyBorder="1" applyAlignment="1">
      <alignment horizontal="center" vertical="center"/>
    </xf>
    <xf numFmtId="169" fontId="10" fillId="0" borderId="57" xfId="0" applyNumberFormat="1" applyFont="1" applyBorder="1" applyAlignment="1">
      <alignment horizontal="center" vertical="center"/>
    </xf>
    <xf numFmtId="40" fontId="10" fillId="0" borderId="91" xfId="1" applyNumberFormat="1" applyFont="1" applyBorder="1" applyAlignment="1">
      <alignment horizontal="center" vertical="center"/>
    </xf>
    <xf numFmtId="169" fontId="14" fillId="0" borderId="57" xfId="0" applyNumberFormat="1" applyFont="1" applyBorder="1" applyAlignment="1">
      <alignment horizontal="center" vertical="center"/>
    </xf>
    <xf numFmtId="40" fontId="14" fillId="0" borderId="92" xfId="1" applyNumberFormat="1" applyFont="1" applyBorder="1" applyAlignment="1">
      <alignment horizontal="center" vertical="center"/>
    </xf>
    <xf numFmtId="40" fontId="14" fillId="0" borderId="93" xfId="1" applyNumberFormat="1" applyFont="1" applyBorder="1" applyAlignment="1">
      <alignment horizontal="center" vertical="center"/>
    </xf>
    <xf numFmtId="0" fontId="6" fillId="5" borderId="26" xfId="0" applyFont="1" applyFill="1" applyBorder="1" applyAlignment="1">
      <alignment horizontal="center" vertical="center"/>
    </xf>
    <xf numFmtId="0" fontId="8" fillId="5" borderId="5" xfId="0" applyFont="1" applyFill="1" applyBorder="1" applyAlignment="1">
      <alignment horizontal="right" vertical="center" wrapText="1"/>
    </xf>
    <xf numFmtId="40" fontId="6" fillId="5" borderId="13" xfId="1" applyNumberFormat="1" applyFont="1" applyFill="1" applyBorder="1" applyAlignment="1">
      <alignment horizontal="center" vertical="center"/>
    </xf>
    <xf numFmtId="40" fontId="6" fillId="5" borderId="29" xfId="1" applyNumberFormat="1" applyFont="1" applyFill="1" applyBorder="1" applyAlignment="1">
      <alignment horizontal="center" vertical="center"/>
    </xf>
    <xf numFmtId="40" fontId="6" fillId="5" borderId="14" xfId="1" applyNumberFormat="1" applyFont="1" applyFill="1" applyBorder="1" applyAlignment="1">
      <alignment horizontal="center" vertical="center"/>
    </xf>
    <xf numFmtId="40" fontId="6" fillId="5" borderId="27" xfId="1" applyNumberFormat="1" applyFont="1" applyFill="1" applyBorder="1" applyAlignment="1">
      <alignment horizontal="center" vertical="center"/>
    </xf>
    <xf numFmtId="0" fontId="6" fillId="0" borderId="89" xfId="0" applyFont="1" applyBorder="1" applyAlignment="1">
      <alignment horizontal="center" vertical="center"/>
    </xf>
    <xf numFmtId="0" fontId="2" fillId="0" borderId="53" xfId="0" applyFont="1" applyBorder="1" applyAlignment="1">
      <alignment horizontal="center" vertical="center"/>
    </xf>
    <xf numFmtId="0" fontId="3" fillId="0" borderId="94" xfId="0" applyFont="1" applyBorder="1" applyAlignment="1">
      <alignment horizontal="center" vertical="center"/>
    </xf>
    <xf numFmtId="164" fontId="3" fillId="0" borderId="6" xfId="0" applyNumberFormat="1" applyFont="1" applyBorder="1" applyAlignment="1">
      <alignment horizontal="center" vertical="center"/>
    </xf>
    <xf numFmtId="164" fontId="3" fillId="0" borderId="95" xfId="0" applyNumberFormat="1" applyFont="1" applyBorder="1" applyAlignment="1">
      <alignment horizontal="center" vertical="center"/>
    </xf>
    <xf numFmtId="164" fontId="3" fillId="0" borderId="96" xfId="0" applyNumberFormat="1" applyFont="1" applyBorder="1" applyAlignment="1">
      <alignment horizontal="center" vertical="center"/>
    </xf>
    <xf numFmtId="0" fontId="4" fillId="0" borderId="8" xfId="0" applyFont="1" applyBorder="1" applyAlignment="1">
      <alignment vertical="center"/>
    </xf>
    <xf numFmtId="0" fontId="4" fillId="0" borderId="97" xfId="0" applyFont="1" applyBorder="1" applyAlignment="1">
      <alignment vertical="center"/>
    </xf>
    <xf numFmtId="164" fontId="3" fillId="0" borderId="7" xfId="0" applyNumberFormat="1" applyFont="1" applyBorder="1" applyAlignment="1">
      <alignment horizontal="center" vertical="center"/>
    </xf>
    <xf numFmtId="0" fontId="0" fillId="0" borderId="7" xfId="0" applyBorder="1" applyAlignment="1">
      <alignment horizontal="distributed" vertical="center"/>
    </xf>
    <xf numFmtId="164" fontId="3" fillId="0" borderId="98" xfId="0" applyNumberFormat="1" applyFont="1" applyBorder="1" applyAlignment="1">
      <alignment horizontal="center" vertical="center"/>
    </xf>
    <xf numFmtId="40" fontId="0" fillId="0" borderId="1" xfId="1" applyNumberFormat="1" applyFont="1" applyBorder="1" applyAlignment="1">
      <alignment horizontal="distributed" vertical="center"/>
    </xf>
    <xf numFmtId="164" fontId="3" fillId="0" borderId="1" xfId="0" applyNumberFormat="1" applyFont="1" applyBorder="1" applyAlignment="1">
      <alignment horizontal="center" vertical="center"/>
    </xf>
    <xf numFmtId="38" fontId="0" fillId="0" borderId="1" xfId="1" applyFont="1" applyBorder="1" applyAlignment="1">
      <alignment horizontal="distributed" vertical="center"/>
    </xf>
    <xf numFmtId="164" fontId="3" fillId="0" borderId="99" xfId="0" applyNumberFormat="1" applyFont="1" applyBorder="1" applyAlignment="1">
      <alignment horizontal="center" vertical="center"/>
    </xf>
    <xf numFmtId="0" fontId="3" fillId="0" borderId="0" xfId="0" applyFont="1" applyBorder="1" applyAlignment="1">
      <alignment horizontal="center" vertical="center"/>
    </xf>
    <xf numFmtId="0" fontId="3" fillId="0" borderId="0" xfId="0" applyFont="1" applyAlignment="1">
      <alignment horizontal="center" vertical="center"/>
    </xf>
    <xf numFmtId="0" fontId="3" fillId="0" borderId="0" xfId="0" applyFont="1" applyAlignment="1">
      <alignment vertical="center"/>
    </xf>
    <xf numFmtId="0" fontId="3" fillId="0" borderId="0" xfId="0" applyFont="1" applyBorder="1" applyAlignment="1">
      <alignment vertical="center"/>
    </xf>
    <xf numFmtId="0" fontId="6" fillId="6" borderId="88" xfId="0" applyFont="1" applyFill="1" applyBorder="1" applyAlignment="1">
      <alignment horizontal="center" vertical="center"/>
    </xf>
    <xf numFmtId="0" fontId="3" fillId="6" borderId="29" xfId="0" applyFont="1" applyFill="1" applyBorder="1" applyAlignment="1">
      <alignment horizontal="right" vertical="center"/>
    </xf>
    <xf numFmtId="0" fontId="4" fillId="0" borderId="1" xfId="0" applyFont="1" applyBorder="1" applyAlignment="1">
      <alignment horizontal="center"/>
    </xf>
    <xf numFmtId="0" fontId="4" fillId="0" borderId="0" xfId="0" applyFont="1" applyBorder="1" applyAlignment="1">
      <alignment horizontal="center"/>
    </xf>
    <xf numFmtId="0" fontId="2" fillId="6" borderId="89" xfId="0" applyFont="1" applyFill="1" applyBorder="1" applyAlignment="1">
      <alignment horizontal="center" vertical="center"/>
    </xf>
    <xf numFmtId="0" fontId="3" fillId="6" borderId="102" xfId="0" applyFont="1" applyFill="1" applyBorder="1" applyAlignment="1">
      <alignment horizontal="right" vertical="center"/>
    </xf>
    <xf numFmtId="40" fontId="10" fillId="0" borderId="103" xfId="1" applyNumberFormat="1" applyFont="1" applyBorder="1" applyAlignment="1">
      <alignment horizontal="center" vertical="center"/>
    </xf>
    <xf numFmtId="40" fontId="10" fillId="0" borderId="102" xfId="1" applyNumberFormat="1" applyFont="1" applyBorder="1" applyAlignment="1">
      <alignment horizontal="center" vertical="center"/>
    </xf>
    <xf numFmtId="40" fontId="10" fillId="0" borderId="101" xfId="1" applyNumberFormat="1" applyFont="1" applyBorder="1" applyAlignment="1">
      <alignment horizontal="center" vertical="center"/>
    </xf>
    <xf numFmtId="40" fontId="10" fillId="0" borderId="104" xfId="1" applyNumberFormat="1" applyFont="1" applyBorder="1" applyAlignment="1">
      <alignment horizontal="center" vertical="center"/>
    </xf>
    <xf numFmtId="0" fontId="10" fillId="0" borderId="107" xfId="0" applyFont="1" applyFill="1" applyBorder="1" applyAlignment="1">
      <alignment horizontal="right" vertical="center"/>
    </xf>
    <xf numFmtId="0" fontId="13" fillId="7" borderId="24" xfId="0" applyFont="1" applyFill="1" applyBorder="1" applyAlignment="1">
      <alignment horizontal="distributed" vertical="center"/>
    </xf>
    <xf numFmtId="0" fontId="10" fillId="8" borderId="112" xfId="0" applyFont="1" applyFill="1" applyBorder="1" applyAlignment="1">
      <alignment horizontal="right" vertical="center"/>
    </xf>
    <xf numFmtId="38" fontId="2" fillId="0" borderId="113" xfId="1" applyFont="1" applyBorder="1" applyAlignment="1">
      <alignment horizontal="center" vertical="center"/>
    </xf>
    <xf numFmtId="38" fontId="2" fillId="0" borderId="23" xfId="1" applyFont="1" applyBorder="1" applyAlignment="1">
      <alignment vertical="center"/>
    </xf>
    <xf numFmtId="38" fontId="2" fillId="0" borderId="24" xfId="1" applyFont="1" applyBorder="1" applyAlignment="1">
      <alignment vertical="center"/>
    </xf>
    <xf numFmtId="38" fontId="2" fillId="0" borderId="25" xfId="1" applyFont="1" applyBorder="1" applyAlignment="1">
      <alignment vertical="center"/>
    </xf>
    <xf numFmtId="0" fontId="13" fillId="7" borderId="13" xfId="0" applyFont="1" applyFill="1" applyBorder="1" applyAlignment="1">
      <alignment horizontal="distributed" vertical="center"/>
    </xf>
    <xf numFmtId="0" fontId="10" fillId="8" borderId="34" xfId="0" applyFont="1" applyFill="1" applyBorder="1" applyAlignment="1">
      <alignment horizontal="right" vertical="center"/>
    </xf>
    <xf numFmtId="38" fontId="2" fillId="0" borderId="13" xfId="1" applyFont="1" applyBorder="1" applyAlignment="1">
      <alignment horizontal="center" vertical="center"/>
    </xf>
    <xf numFmtId="38" fontId="2" fillId="0" borderId="29" xfId="1" applyFont="1" applyBorder="1" applyAlignment="1">
      <alignment vertical="center"/>
    </xf>
    <xf numFmtId="38" fontId="2" fillId="0" borderId="13" xfId="1" applyFont="1" applyBorder="1" applyAlignment="1">
      <alignment vertical="center"/>
    </xf>
    <xf numFmtId="38" fontId="2" fillId="0" borderId="27" xfId="1" applyFont="1" applyBorder="1" applyAlignment="1">
      <alignment vertical="center"/>
    </xf>
    <xf numFmtId="0" fontId="13" fillId="7" borderId="81" xfId="0" applyFont="1" applyFill="1" applyBorder="1" applyAlignment="1">
      <alignment horizontal="distributed" vertical="center"/>
    </xf>
    <xf numFmtId="0" fontId="10" fillId="8" borderId="114" xfId="0" applyFont="1" applyFill="1" applyBorder="1" applyAlignment="1">
      <alignment horizontal="right" vertical="center"/>
    </xf>
    <xf numFmtId="38" fontId="2" fillId="0" borderId="6" xfId="1" applyFont="1" applyBorder="1" applyAlignment="1">
      <alignment horizontal="center" vertical="center"/>
    </xf>
    <xf numFmtId="38" fontId="2" fillId="0" borderId="115" xfId="1" applyFont="1" applyBorder="1" applyAlignment="1">
      <alignment vertical="center"/>
    </xf>
    <xf numFmtId="38" fontId="2" fillId="0" borderId="81" xfId="1" applyFont="1" applyBorder="1" applyAlignment="1">
      <alignment vertical="center"/>
    </xf>
    <xf numFmtId="38" fontId="2" fillId="0" borderId="116" xfId="1" applyFont="1" applyBorder="1" applyAlignment="1">
      <alignment vertical="center"/>
    </xf>
    <xf numFmtId="0" fontId="6" fillId="9" borderId="117" xfId="0" applyFont="1" applyFill="1" applyBorder="1" applyAlignment="1">
      <alignment horizontal="center" vertical="center" shrinkToFit="1"/>
    </xf>
    <xf numFmtId="166" fontId="3" fillId="0" borderId="113" xfId="0" applyNumberFormat="1" applyFont="1" applyFill="1" applyBorder="1" applyAlignment="1">
      <alignment horizontal="center" vertical="center" shrinkToFit="1"/>
    </xf>
    <xf numFmtId="164" fontId="2" fillId="0" borderId="118" xfId="0" applyNumberFormat="1" applyFont="1" applyFill="1" applyBorder="1" applyAlignment="1">
      <alignment horizontal="center" vertical="center"/>
    </xf>
    <xf numFmtId="164" fontId="2" fillId="0" borderId="111" xfId="0" applyNumberFormat="1" applyFont="1" applyFill="1" applyBorder="1" applyAlignment="1">
      <alignment horizontal="center" vertical="center"/>
    </xf>
    <xf numFmtId="164" fontId="2" fillId="0" borderId="119" xfId="0" applyNumberFormat="1" applyFont="1" applyFill="1" applyBorder="1" applyAlignment="1">
      <alignment horizontal="center" vertical="center"/>
    </xf>
    <xf numFmtId="0" fontId="4" fillId="0" borderId="0" xfId="0" applyFont="1" applyBorder="1"/>
    <xf numFmtId="0" fontId="6" fillId="9" borderId="89" xfId="0" applyFont="1" applyFill="1" applyBorder="1" applyAlignment="1">
      <alignment horizontal="center" vertical="center"/>
    </xf>
    <xf numFmtId="0" fontId="3" fillId="9" borderId="33" xfId="0" applyFont="1" applyFill="1" applyBorder="1" applyAlignment="1">
      <alignment horizontal="distributed" vertical="center"/>
    </xf>
    <xf numFmtId="0" fontId="3" fillId="9" borderId="81" xfId="0" applyFont="1" applyFill="1" applyBorder="1" applyAlignment="1">
      <alignment horizontal="distributed" vertical="center"/>
    </xf>
    <xf numFmtId="0" fontId="3" fillId="9" borderId="115" xfId="0" applyFont="1" applyFill="1" applyBorder="1" applyAlignment="1">
      <alignment horizontal="distributed" vertical="center"/>
    </xf>
    <xf numFmtId="164" fontId="10" fillId="0" borderId="69" xfId="0" applyNumberFormat="1" applyFont="1" applyBorder="1" applyAlignment="1">
      <alignment horizontal="center" vertical="center" shrinkToFit="1"/>
    </xf>
    <xf numFmtId="0" fontId="1" fillId="0" borderId="82" xfId="0" applyFont="1" applyBorder="1" applyAlignment="1">
      <alignment horizontal="center" vertical="center" shrinkToFit="1"/>
    </xf>
    <xf numFmtId="0" fontId="1" fillId="0" borderId="83" xfId="0" applyFont="1" applyBorder="1" applyAlignment="1">
      <alignment horizontal="center" vertical="center" shrinkToFit="1"/>
    </xf>
    <xf numFmtId="0" fontId="1" fillId="0" borderId="84" xfId="0" applyFont="1" applyBorder="1" applyAlignment="1">
      <alignment horizontal="center" vertical="center" shrinkToFit="1"/>
    </xf>
    <xf numFmtId="0" fontId="4" fillId="9" borderId="31" xfId="0" applyFont="1" applyFill="1" applyBorder="1" applyAlignment="1">
      <alignment vertical="center"/>
    </xf>
    <xf numFmtId="0" fontId="6" fillId="9" borderId="31" xfId="0" applyFont="1" applyFill="1" applyBorder="1" applyAlignment="1">
      <alignment horizontal="center" vertical="center"/>
    </xf>
    <xf numFmtId="0" fontId="3" fillId="9" borderId="48" xfId="0" applyFont="1" applyFill="1" applyBorder="1" applyAlignment="1">
      <alignment horizontal="distributed" vertical="center" shrinkToFit="1"/>
    </xf>
    <xf numFmtId="0" fontId="3" fillId="9" borderId="121" xfId="0" applyFont="1" applyFill="1" applyBorder="1" applyAlignment="1">
      <alignment horizontal="center" vertical="center"/>
    </xf>
    <xf numFmtId="0" fontId="10" fillId="0" borderId="33" xfId="0" applyNumberFormat="1" applyFont="1" applyBorder="1" applyAlignment="1">
      <alignment horizontal="center" vertical="center" shrinkToFit="1"/>
    </xf>
    <xf numFmtId="164" fontId="10" fillId="0" borderId="121" xfId="0" applyNumberFormat="1" applyFont="1" applyBorder="1" applyAlignment="1">
      <alignment horizontal="center" vertical="center" shrinkToFit="1"/>
    </xf>
    <xf numFmtId="164" fontId="10" fillId="0" borderId="122" xfId="0" applyNumberFormat="1" applyFont="1" applyBorder="1" applyAlignment="1">
      <alignment horizontal="center" vertical="center" shrinkToFit="1"/>
    </xf>
    <xf numFmtId="164" fontId="10" fillId="0" borderId="123" xfId="0" applyNumberFormat="1" applyFont="1" applyBorder="1" applyAlignment="1">
      <alignment horizontal="center" vertical="center" shrinkToFit="1"/>
    </xf>
    <xf numFmtId="0" fontId="3" fillId="9" borderId="57" xfId="0" applyFont="1" applyFill="1" applyBorder="1" applyAlignment="1">
      <alignment horizontal="left" vertical="center" shrinkToFit="1"/>
    </xf>
    <xf numFmtId="0" fontId="3" fillId="9" borderId="124" xfId="0" applyFont="1" applyFill="1" applyBorder="1" applyAlignment="1">
      <alignment horizontal="distributed" vertical="center"/>
    </xf>
    <xf numFmtId="164" fontId="10" fillId="0" borderId="57" xfId="0" applyNumberFormat="1" applyFont="1" applyBorder="1" applyAlignment="1">
      <alignment horizontal="center" vertical="center" shrinkToFit="1"/>
    </xf>
    <xf numFmtId="164" fontId="10" fillId="0" borderId="124" xfId="0" applyNumberFormat="1" applyFont="1" applyBorder="1" applyAlignment="1">
      <alignment horizontal="center" vertical="center" shrinkToFit="1"/>
    </xf>
    <xf numFmtId="164" fontId="10" fillId="0" borderId="125" xfId="0" applyNumberFormat="1" applyFont="1" applyBorder="1" applyAlignment="1">
      <alignment horizontal="center" vertical="center" shrinkToFit="1"/>
    </xf>
    <xf numFmtId="164" fontId="10" fillId="0" borderId="126" xfId="0" applyNumberFormat="1" applyFont="1" applyBorder="1" applyAlignment="1">
      <alignment horizontal="center" vertical="center" shrinkToFit="1"/>
    </xf>
    <xf numFmtId="0" fontId="3" fillId="9" borderId="0" xfId="0" applyFont="1" applyFill="1" applyBorder="1" applyAlignment="1">
      <alignment vertical="center"/>
    </xf>
    <xf numFmtId="0" fontId="3" fillId="9" borderId="76" xfId="0" applyFont="1" applyFill="1" applyBorder="1" applyAlignment="1">
      <alignment horizontal="right" vertical="center"/>
    </xf>
    <xf numFmtId="164" fontId="10" fillId="0" borderId="69" xfId="0" applyNumberFormat="1" applyFont="1" applyBorder="1" applyAlignment="1">
      <alignment vertical="center" shrinkToFit="1"/>
    </xf>
    <xf numFmtId="0" fontId="1" fillId="0" borderId="82" xfId="0" applyFont="1" applyBorder="1" applyAlignment="1">
      <alignment vertical="center" shrinkToFit="1"/>
    </xf>
    <xf numFmtId="0" fontId="1" fillId="0" borderId="83" xfId="0" applyFont="1" applyBorder="1" applyAlignment="1">
      <alignment vertical="center" shrinkToFit="1"/>
    </xf>
    <xf numFmtId="0" fontId="1" fillId="0" borderId="84" xfId="0" applyFont="1" applyBorder="1" applyAlignment="1">
      <alignment vertical="center" shrinkToFit="1"/>
    </xf>
    <xf numFmtId="0" fontId="3" fillId="9" borderId="6" xfId="0" applyFont="1" applyFill="1" applyBorder="1" applyAlignment="1">
      <alignment horizontal="distributed" vertical="center"/>
    </xf>
    <xf numFmtId="0" fontId="3" fillId="9" borderId="29" xfId="0" applyFont="1" applyFill="1" applyBorder="1" applyAlignment="1">
      <alignment horizontal="center" vertical="center"/>
    </xf>
    <xf numFmtId="0" fontId="8" fillId="9" borderId="76" xfId="0" applyFont="1" applyFill="1" applyBorder="1" applyAlignment="1">
      <alignment horizontal="center" vertical="center"/>
    </xf>
    <xf numFmtId="40" fontId="6" fillId="9" borderId="33" xfId="1" applyNumberFormat="1" applyFont="1" applyFill="1" applyBorder="1" applyAlignment="1">
      <alignment horizontal="center" vertical="center"/>
    </xf>
    <xf numFmtId="40" fontId="6" fillId="9" borderId="76" xfId="1" applyNumberFormat="1" applyFont="1" applyFill="1" applyBorder="1" applyAlignment="1">
      <alignment horizontal="center" vertical="center"/>
    </xf>
    <xf numFmtId="40" fontId="6" fillId="9" borderId="0" xfId="1" applyNumberFormat="1" applyFont="1" applyFill="1" applyBorder="1" applyAlignment="1">
      <alignment horizontal="center" vertical="center"/>
    </xf>
    <xf numFmtId="40" fontId="6" fillId="9" borderId="77" xfId="1" applyNumberFormat="1" applyFont="1" applyFill="1" applyBorder="1" applyAlignment="1">
      <alignment horizontal="center" vertical="center"/>
    </xf>
    <xf numFmtId="0" fontId="3" fillId="0" borderId="102" xfId="3" applyFont="1" applyFill="1" applyBorder="1" applyAlignment="1">
      <alignment horizontal="right" vertical="center"/>
    </xf>
    <xf numFmtId="40" fontId="3" fillId="0" borderId="103" xfId="1" applyNumberFormat="1" applyFont="1" applyFill="1" applyBorder="1" applyAlignment="1">
      <alignment horizontal="center" vertical="center"/>
    </xf>
    <xf numFmtId="40" fontId="3" fillId="0" borderId="102" xfId="1" applyNumberFormat="1" applyFont="1" applyBorder="1" applyAlignment="1">
      <alignment horizontal="center" vertical="center"/>
    </xf>
    <xf numFmtId="40" fontId="3" fillId="0" borderId="101" xfId="1" applyNumberFormat="1" applyFont="1" applyBorder="1" applyAlignment="1">
      <alignment horizontal="center" vertical="center"/>
    </xf>
    <xf numFmtId="40" fontId="3" fillId="0" borderId="104" xfId="1" applyNumberFormat="1" applyFont="1" applyBorder="1" applyAlignment="1">
      <alignment horizontal="center" vertical="center"/>
    </xf>
    <xf numFmtId="0" fontId="3" fillId="0" borderId="107" xfId="0" applyFont="1" applyFill="1" applyBorder="1" applyAlignment="1">
      <alignment horizontal="right" vertical="center"/>
    </xf>
    <xf numFmtId="0" fontId="1" fillId="10" borderId="29" xfId="0" applyFont="1" applyFill="1" applyBorder="1" applyAlignment="1">
      <alignment horizontal="right" vertical="center"/>
    </xf>
    <xf numFmtId="40" fontId="10" fillId="0" borderId="24" xfId="1" applyNumberFormat="1" applyFont="1" applyBorder="1" applyAlignment="1">
      <alignment horizontal="center" vertical="center"/>
    </xf>
    <xf numFmtId="40" fontId="3" fillId="0" borderId="23" xfId="1" applyNumberFormat="1" applyFont="1" applyBorder="1" applyAlignment="1">
      <alignment horizontal="center" vertical="center"/>
    </xf>
    <xf numFmtId="40" fontId="3" fillId="0" borderId="22" xfId="1" applyNumberFormat="1" applyFont="1" applyBorder="1" applyAlignment="1">
      <alignment horizontal="center" vertical="center"/>
    </xf>
    <xf numFmtId="40" fontId="3" fillId="0" borderId="25" xfId="1" applyNumberFormat="1" applyFont="1" applyBorder="1" applyAlignment="1">
      <alignment horizontal="center" vertical="center"/>
    </xf>
    <xf numFmtId="40" fontId="10" fillId="0" borderId="6" xfId="1" applyNumberFormat="1" applyFont="1" applyBorder="1" applyAlignment="1">
      <alignment horizontal="center" vertical="center"/>
    </xf>
    <xf numFmtId="40" fontId="3" fillId="0" borderId="5" xfId="1" applyNumberFormat="1" applyFont="1" applyBorder="1" applyAlignment="1">
      <alignment horizontal="center" vertical="center"/>
    </xf>
    <xf numFmtId="40" fontId="3" fillId="0" borderId="8" xfId="1" applyNumberFormat="1" applyFont="1" applyBorder="1" applyAlignment="1">
      <alignment horizontal="center" vertical="center"/>
    </xf>
    <xf numFmtId="40" fontId="3" fillId="0" borderId="97" xfId="1" applyNumberFormat="1" applyFont="1" applyBorder="1" applyAlignment="1">
      <alignment horizontal="center" vertical="center"/>
    </xf>
    <xf numFmtId="40" fontId="3" fillId="0" borderId="29" xfId="1" applyNumberFormat="1" applyFont="1" applyBorder="1" applyAlignment="1">
      <alignment horizontal="center" vertical="center"/>
    </xf>
    <xf numFmtId="40" fontId="3" fillId="0" borderId="14" xfId="1" applyNumberFormat="1" applyFont="1" applyBorder="1" applyAlignment="1">
      <alignment horizontal="center" vertical="center"/>
    </xf>
    <xf numFmtId="40" fontId="3" fillId="0" borderId="27" xfId="1" applyNumberFormat="1" applyFont="1" applyBorder="1" applyAlignment="1">
      <alignment horizontal="center" vertical="center"/>
    </xf>
    <xf numFmtId="40" fontId="10" fillId="0" borderId="81" xfId="1" applyNumberFormat="1" applyFont="1" applyBorder="1" applyAlignment="1">
      <alignment horizontal="center" vertical="center"/>
    </xf>
    <xf numFmtId="40" fontId="3" fillId="0" borderId="115" xfId="1" applyNumberFormat="1" applyFont="1" applyBorder="1" applyAlignment="1">
      <alignment horizontal="center" vertical="center"/>
    </xf>
    <xf numFmtId="40" fontId="3" fillId="0" borderId="30" xfId="1" applyNumberFormat="1" applyFont="1" applyBorder="1" applyAlignment="1">
      <alignment horizontal="center" vertical="center"/>
    </xf>
    <xf numFmtId="40" fontId="3" fillId="0" borderId="116" xfId="1" applyNumberFormat="1" applyFont="1" applyBorder="1" applyAlignment="1">
      <alignment horizontal="center" vertical="center"/>
    </xf>
    <xf numFmtId="0" fontId="1" fillId="10" borderId="129" xfId="0" applyFont="1" applyFill="1" applyBorder="1" applyAlignment="1">
      <alignment horizontal="right" vertical="center"/>
    </xf>
    <xf numFmtId="40" fontId="10" fillId="0" borderId="33" xfId="1" applyNumberFormat="1" applyFont="1" applyBorder="1" applyAlignment="1">
      <alignment horizontal="center" vertical="center"/>
    </xf>
    <xf numFmtId="9" fontId="3" fillId="0" borderId="76" xfId="2" applyFont="1" applyBorder="1" applyAlignment="1">
      <alignment horizontal="center" vertical="center"/>
    </xf>
    <xf numFmtId="9" fontId="3" fillId="0" borderId="77" xfId="2" applyFont="1" applyBorder="1" applyAlignment="1">
      <alignment horizontal="center" vertical="center"/>
    </xf>
    <xf numFmtId="0" fontId="16" fillId="0" borderId="131" xfId="0" applyFont="1" applyBorder="1" applyAlignment="1">
      <alignment horizontal="center" vertical="center"/>
    </xf>
    <xf numFmtId="0" fontId="17" fillId="0" borderId="132" xfId="0" applyFont="1" applyBorder="1" applyAlignment="1">
      <alignment horizontal="center" vertical="center" shrinkToFit="1"/>
    </xf>
    <xf numFmtId="0" fontId="17" fillId="0" borderId="133" xfId="0" applyFont="1" applyBorder="1" applyAlignment="1">
      <alignment horizontal="left" vertical="center" shrinkToFit="1"/>
    </xf>
    <xf numFmtId="0" fontId="17" fillId="0" borderId="134" xfId="0" applyFont="1" applyBorder="1" applyAlignment="1">
      <alignment horizontal="left" vertical="center" shrinkToFit="1"/>
    </xf>
    <xf numFmtId="0" fontId="16" fillId="0" borderId="124" xfId="0" applyFont="1" applyBorder="1" applyAlignment="1">
      <alignment horizontal="center" vertical="center"/>
    </xf>
    <xf numFmtId="0" fontId="16" fillId="0" borderId="129" xfId="0" applyFont="1" applyBorder="1" applyAlignment="1">
      <alignment horizontal="center" vertical="center"/>
    </xf>
    <xf numFmtId="40" fontId="15" fillId="0" borderId="103" xfId="1" applyNumberFormat="1" applyFont="1" applyBorder="1" applyAlignment="1">
      <alignment horizontal="center" vertical="center"/>
    </xf>
    <xf numFmtId="40" fontId="18" fillId="0" borderId="102" xfId="1" applyNumberFormat="1" applyFont="1" applyBorder="1" applyAlignment="1">
      <alignment horizontal="center"/>
    </xf>
    <xf numFmtId="40" fontId="18" fillId="0" borderId="104" xfId="1" applyNumberFormat="1" applyFont="1" applyBorder="1" applyAlignment="1">
      <alignment horizontal="center"/>
    </xf>
    <xf numFmtId="0" fontId="5" fillId="0" borderId="0" xfId="0" applyFont="1" applyFill="1" applyBorder="1" applyAlignment="1">
      <alignment vertical="center"/>
    </xf>
    <xf numFmtId="0" fontId="22" fillId="0" borderId="0" xfId="0" applyFont="1" applyFill="1" applyAlignment="1">
      <alignment horizontal="center"/>
    </xf>
    <xf numFmtId="0" fontId="23" fillId="0" borderId="0" xfId="0" applyFont="1" applyFill="1"/>
    <xf numFmtId="0" fontId="24" fillId="0" borderId="1" xfId="0" applyFont="1" applyBorder="1" applyAlignment="1">
      <alignment horizontal="center" vertical="center"/>
    </xf>
    <xf numFmtId="0" fontId="25" fillId="0" borderId="1" xfId="0" applyFont="1" applyBorder="1" applyAlignment="1">
      <alignment horizontal="right"/>
    </xf>
    <xf numFmtId="0" fontId="25" fillId="0" borderId="1" xfId="0" applyFont="1" applyBorder="1" applyAlignment="1">
      <alignment horizontal="center" vertical="center"/>
    </xf>
    <xf numFmtId="0" fontId="25" fillId="0" borderId="1" xfId="0" applyFont="1" applyBorder="1" applyAlignment="1">
      <alignment horizontal="left"/>
    </xf>
    <xf numFmtId="0" fontId="25" fillId="0" borderId="78" xfId="0" applyFont="1" applyBorder="1" applyAlignment="1">
      <alignment horizontal="center" vertical="center"/>
    </xf>
    <xf numFmtId="0" fontId="25" fillId="0" borderId="78" xfId="0" applyFont="1" applyBorder="1" applyAlignment="1">
      <alignment horizontal="left"/>
    </xf>
    <xf numFmtId="0" fontId="25" fillId="0" borderId="0" xfId="0" applyFont="1" applyBorder="1" applyAlignment="1">
      <alignment horizontal="right"/>
    </xf>
    <xf numFmtId="0" fontId="25" fillId="0" borderId="0" xfId="0" applyFont="1" applyBorder="1" applyAlignment="1">
      <alignment horizontal="center" vertical="center"/>
    </xf>
    <xf numFmtId="0" fontId="25" fillId="0" borderId="0" xfId="0" applyFont="1" applyBorder="1" applyAlignment="1">
      <alignment horizontal="left"/>
    </xf>
    <xf numFmtId="0" fontId="0" fillId="0" borderId="0" xfId="0" applyBorder="1" applyAlignment="1">
      <alignment horizontal="right"/>
    </xf>
    <xf numFmtId="0" fontId="0" fillId="0" borderId="0" xfId="0" applyBorder="1" applyAlignment="1">
      <alignment horizontal="left"/>
    </xf>
    <xf numFmtId="0" fontId="6" fillId="0" borderId="8" xfId="0" applyFont="1" applyBorder="1" applyAlignment="1">
      <alignment vertical="center"/>
    </xf>
    <xf numFmtId="0" fontId="6" fillId="0" borderId="5" xfId="0" applyFont="1" applyBorder="1" applyAlignment="1">
      <alignment vertical="center"/>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27" xfId="0" applyFont="1" applyBorder="1" applyAlignment="1">
      <alignment horizontal="center" vertical="center" wrapText="1"/>
    </xf>
    <xf numFmtId="0" fontId="3" fillId="0" borderId="3" xfId="0" applyFont="1" applyBorder="1" applyAlignment="1">
      <alignment horizontal="center" vertical="center"/>
    </xf>
    <xf numFmtId="49" fontId="6" fillId="0" borderId="4" xfId="0" applyNumberFormat="1" applyFont="1" applyBorder="1" applyAlignment="1">
      <alignment horizontal="center" vertical="center"/>
    </xf>
    <xf numFmtId="0" fontId="4" fillId="0" borderId="30" xfId="0" applyFont="1" applyBorder="1" applyAlignment="1">
      <alignment horizontal="center" vertical="center" wrapText="1"/>
    </xf>
    <xf numFmtId="0" fontId="0" fillId="0" borderId="0" xfId="0" applyFill="1" applyBorder="1" applyAlignment="1">
      <alignment horizontal="center" vertical="center"/>
    </xf>
    <xf numFmtId="0" fontId="26" fillId="0" borderId="1" xfId="0" applyFont="1" applyBorder="1" applyAlignment="1">
      <alignment horizontal="right"/>
    </xf>
    <xf numFmtId="0" fontId="6" fillId="0" borderId="26" xfId="0" applyFont="1" applyBorder="1" applyAlignment="1">
      <alignment vertical="center"/>
    </xf>
    <xf numFmtId="0" fontId="25" fillId="0" borderId="78" xfId="0" applyFont="1" applyBorder="1" applyAlignment="1">
      <alignment horizontal="right"/>
    </xf>
    <xf numFmtId="0" fontId="3" fillId="11" borderId="38" xfId="0" applyFont="1" applyFill="1" applyBorder="1" applyAlignment="1">
      <alignment horizontal="center" vertical="center" wrapText="1"/>
    </xf>
    <xf numFmtId="0" fontId="3" fillId="11" borderId="39" xfId="0" applyFont="1" applyFill="1" applyBorder="1" applyAlignment="1">
      <alignment horizontal="center" vertical="center" wrapText="1"/>
    </xf>
    <xf numFmtId="0" fontId="3" fillId="11" borderId="43" xfId="0" applyFont="1" applyFill="1" applyBorder="1" applyAlignment="1">
      <alignment horizontal="center" vertical="center"/>
    </xf>
    <xf numFmtId="0" fontId="3" fillId="11" borderId="44" xfId="0" applyFont="1" applyFill="1" applyBorder="1" applyAlignment="1">
      <alignment horizontal="center" vertical="center"/>
    </xf>
    <xf numFmtId="0" fontId="3" fillId="11" borderId="48" xfId="0" applyFont="1" applyFill="1" applyBorder="1" applyAlignment="1">
      <alignment horizontal="center" vertical="center"/>
    </xf>
    <xf numFmtId="0" fontId="3" fillId="11" borderId="49" xfId="0" applyFont="1" applyFill="1" applyBorder="1" applyAlignment="1">
      <alignment horizontal="center" vertical="center"/>
    </xf>
    <xf numFmtId="0" fontId="3" fillId="11" borderId="52" xfId="0" applyFont="1" applyFill="1" applyBorder="1" applyAlignment="1">
      <alignment horizontal="center" vertical="center"/>
    </xf>
    <xf numFmtId="0" fontId="3" fillId="11" borderId="53" xfId="0" applyFont="1" applyFill="1" applyBorder="1" applyAlignment="1">
      <alignment horizontal="center" vertical="center"/>
    </xf>
    <xf numFmtId="40" fontId="10" fillId="11" borderId="62" xfId="0" applyNumberFormat="1" applyFont="1" applyFill="1" applyBorder="1" applyAlignment="1">
      <alignment horizontal="center" vertical="center"/>
    </xf>
    <xf numFmtId="40" fontId="10" fillId="11" borderId="63" xfId="0" applyNumberFormat="1" applyFont="1" applyFill="1" applyBorder="1" applyAlignment="1">
      <alignment horizontal="center" vertical="center"/>
    </xf>
    <xf numFmtId="40" fontId="10" fillId="11" borderId="6" xfId="0" applyNumberFormat="1" applyFont="1" applyFill="1" applyBorder="1" applyAlignment="1">
      <alignment horizontal="center" vertical="center"/>
    </xf>
    <xf numFmtId="40" fontId="10" fillId="11" borderId="66" xfId="0" applyNumberFormat="1" applyFont="1" applyFill="1" applyBorder="1" applyAlignment="1">
      <alignment horizontal="center" vertical="center"/>
    </xf>
    <xf numFmtId="40" fontId="8" fillId="11" borderId="33" xfId="1" applyNumberFormat="1" applyFont="1" applyFill="1" applyBorder="1" applyAlignment="1">
      <alignment horizontal="center" vertical="center"/>
    </xf>
    <xf numFmtId="40" fontId="10" fillId="11" borderId="13" xfId="1" applyNumberFormat="1" applyFont="1" applyFill="1" applyBorder="1" applyAlignment="1">
      <alignment horizontal="center" vertical="center"/>
    </xf>
    <xf numFmtId="40" fontId="6" fillId="12" borderId="13" xfId="1" applyNumberFormat="1" applyFont="1" applyFill="1" applyBorder="1" applyAlignment="1">
      <alignment horizontal="center" vertical="center"/>
    </xf>
    <xf numFmtId="40" fontId="3" fillId="11" borderId="69" xfId="1" applyNumberFormat="1" applyFont="1" applyFill="1" applyBorder="1" applyAlignment="1">
      <alignment horizontal="center" vertical="center"/>
    </xf>
    <xf numFmtId="40" fontId="3" fillId="11" borderId="82" xfId="1" applyNumberFormat="1" applyFont="1" applyFill="1" applyBorder="1" applyAlignment="1">
      <alignment horizontal="center" vertical="center"/>
    </xf>
    <xf numFmtId="40" fontId="3" fillId="11" borderId="6" xfId="1" applyNumberFormat="1" applyFont="1" applyFill="1" applyBorder="1" applyAlignment="1">
      <alignment horizontal="center" vertical="center"/>
    </xf>
    <xf numFmtId="40" fontId="3" fillId="11" borderId="85" xfId="1" applyNumberFormat="1" applyFont="1" applyFill="1" applyBorder="1" applyAlignment="1">
      <alignment horizontal="center" vertical="center"/>
    </xf>
    <xf numFmtId="40" fontId="13" fillId="11" borderId="13" xfId="1" applyNumberFormat="1" applyFont="1" applyFill="1" applyBorder="1" applyAlignment="1">
      <alignment horizontal="center" vertical="center"/>
    </xf>
    <xf numFmtId="40" fontId="2" fillId="11" borderId="29" xfId="1" applyNumberFormat="1" applyFont="1" applyFill="1" applyBorder="1" applyAlignment="1">
      <alignment horizontal="center" vertical="center"/>
    </xf>
    <xf numFmtId="40" fontId="3" fillId="11" borderId="82" xfId="1" applyNumberFormat="1" applyFont="1" applyFill="1" applyBorder="1" applyAlignment="1">
      <alignment horizontal="left" vertical="center"/>
    </xf>
    <xf numFmtId="168" fontId="13" fillId="11" borderId="13" xfId="0" applyNumberFormat="1" applyFont="1" applyFill="1" applyBorder="1" applyAlignment="1">
      <alignment horizontal="center" vertical="center"/>
    </xf>
    <xf numFmtId="166" fontId="2" fillId="11" borderId="29" xfId="0" applyNumberFormat="1" applyFont="1" applyFill="1" applyBorder="1" applyAlignment="1">
      <alignment horizontal="center" vertical="center"/>
    </xf>
    <xf numFmtId="169" fontId="10" fillId="11" borderId="38" xfId="0" applyNumberFormat="1" applyFont="1" applyFill="1" applyBorder="1" applyAlignment="1">
      <alignment horizontal="center" vertical="center"/>
    </xf>
    <xf numFmtId="40" fontId="10" fillId="11" borderId="39" xfId="1" applyNumberFormat="1" applyFont="1" applyFill="1" applyBorder="1" applyAlignment="1">
      <alignment horizontal="center" vertical="center"/>
    </xf>
    <xf numFmtId="169" fontId="10" fillId="11" borderId="52" xfId="0" applyNumberFormat="1" applyFont="1" applyFill="1" applyBorder="1" applyAlignment="1">
      <alignment horizontal="center" vertical="center"/>
    </xf>
    <xf numFmtId="40" fontId="10" fillId="11" borderId="49" xfId="1" applyNumberFormat="1" applyFont="1" applyFill="1" applyBorder="1" applyAlignment="1">
      <alignment horizontal="center" vertical="center"/>
    </xf>
    <xf numFmtId="169" fontId="10" fillId="11" borderId="57" xfId="0" applyNumberFormat="1" applyFont="1" applyFill="1" applyBorder="1" applyAlignment="1">
      <alignment horizontal="center" vertical="center"/>
    </xf>
    <xf numFmtId="40" fontId="10" fillId="11" borderId="91" xfId="1" applyNumberFormat="1" applyFont="1" applyFill="1" applyBorder="1" applyAlignment="1">
      <alignment horizontal="center" vertical="center"/>
    </xf>
    <xf numFmtId="40" fontId="0" fillId="11" borderId="1" xfId="1" applyNumberFormat="1" applyFont="1" applyFill="1" applyBorder="1" applyAlignment="1">
      <alignment horizontal="distributed" vertical="center"/>
    </xf>
    <xf numFmtId="164" fontId="3" fillId="11" borderId="1" xfId="0" applyNumberFormat="1" applyFont="1" applyFill="1" applyBorder="1" applyAlignment="1">
      <alignment horizontal="center" vertical="center"/>
    </xf>
    <xf numFmtId="164" fontId="3" fillId="11" borderId="6" xfId="0" applyNumberFormat="1" applyFont="1" applyFill="1" applyBorder="1" applyAlignment="1">
      <alignment horizontal="center" vertical="center"/>
    </xf>
    <xf numFmtId="164" fontId="3" fillId="11" borderId="95" xfId="0" applyNumberFormat="1" applyFont="1" applyFill="1" applyBorder="1" applyAlignment="1">
      <alignment horizontal="center" vertical="center"/>
    </xf>
    <xf numFmtId="164" fontId="2" fillId="11" borderId="118" xfId="0" applyNumberFormat="1" applyFont="1" applyFill="1" applyBorder="1" applyAlignment="1">
      <alignment horizontal="center" vertical="center"/>
    </xf>
    <xf numFmtId="164" fontId="10" fillId="11" borderId="69" xfId="0" applyNumberFormat="1" applyFont="1" applyFill="1" applyBorder="1" applyAlignment="1">
      <alignment horizontal="center" vertical="center" shrinkToFit="1"/>
    </xf>
    <xf numFmtId="0" fontId="10" fillId="11" borderId="33" xfId="0" applyNumberFormat="1" applyFont="1" applyFill="1" applyBorder="1" applyAlignment="1">
      <alignment horizontal="center" vertical="center" shrinkToFit="1"/>
    </xf>
    <xf numFmtId="164" fontId="10" fillId="11" borderId="121" xfId="0" applyNumberFormat="1" applyFont="1" applyFill="1" applyBorder="1" applyAlignment="1">
      <alignment horizontal="center" vertical="center" shrinkToFit="1"/>
    </xf>
    <xf numFmtId="164" fontId="10" fillId="11" borderId="57" xfId="0" applyNumberFormat="1" applyFont="1" applyFill="1" applyBorder="1" applyAlignment="1">
      <alignment horizontal="center" vertical="center" shrinkToFit="1"/>
    </xf>
    <xf numFmtId="164" fontId="10" fillId="11" borderId="124" xfId="0" applyNumberFormat="1" applyFont="1" applyFill="1" applyBorder="1" applyAlignment="1">
      <alignment horizontal="center" vertical="center" shrinkToFit="1"/>
    </xf>
    <xf numFmtId="164" fontId="10" fillId="11" borderId="69" xfId="0" applyNumberFormat="1" applyFont="1" applyFill="1" applyBorder="1" applyAlignment="1">
      <alignment vertical="center" shrinkToFit="1"/>
    </xf>
    <xf numFmtId="40" fontId="6" fillId="13" borderId="33" xfId="1" applyNumberFormat="1" applyFont="1" applyFill="1" applyBorder="1" applyAlignment="1">
      <alignment horizontal="center" vertical="center"/>
    </xf>
    <xf numFmtId="40" fontId="6" fillId="13" borderId="76" xfId="1" applyNumberFormat="1" applyFont="1" applyFill="1" applyBorder="1" applyAlignment="1">
      <alignment horizontal="center" vertical="center"/>
    </xf>
    <xf numFmtId="14" fontId="6" fillId="0" borderId="0" xfId="0" applyNumberFormat="1" applyFont="1" applyAlignment="1">
      <alignment horizontal="right" vertical="center"/>
    </xf>
    <xf numFmtId="0" fontId="3" fillId="0" borderId="0" xfId="0" applyFont="1" applyBorder="1" applyAlignment="1">
      <alignment horizontal="right" vertical="top"/>
    </xf>
    <xf numFmtId="0" fontId="6" fillId="0" borderId="21" xfId="0" applyFont="1" applyBorder="1" applyAlignment="1">
      <alignment horizontal="left" vertical="center" indent="1"/>
    </xf>
    <xf numFmtId="0" fontId="6" fillId="0" borderId="22" xfId="0" applyFont="1" applyBorder="1" applyAlignment="1">
      <alignment horizontal="left" vertical="center" indent="1"/>
    </xf>
    <xf numFmtId="0" fontId="6" fillId="0" borderId="23" xfId="0" applyFont="1" applyBorder="1" applyAlignment="1">
      <alignment horizontal="left" vertical="center" indent="1"/>
    </xf>
    <xf numFmtId="0" fontId="2" fillId="11" borderId="24" xfId="0" applyFont="1" applyFill="1" applyBorder="1" applyAlignment="1">
      <alignment horizontal="left" vertical="center"/>
    </xf>
    <xf numFmtId="0" fontId="2" fillId="11" borderId="23" xfId="0" applyFont="1" applyFill="1" applyBorder="1" applyAlignment="1">
      <alignment horizontal="left" vertical="center"/>
    </xf>
    <xf numFmtId="0" fontId="2" fillId="0" borderId="24" xfId="0" applyFont="1" applyBorder="1" applyAlignment="1">
      <alignment horizontal="left" vertical="center"/>
    </xf>
    <xf numFmtId="0" fontId="2" fillId="0" borderId="23" xfId="0" applyFont="1" applyBorder="1" applyAlignment="1">
      <alignment horizontal="left" vertical="center"/>
    </xf>
    <xf numFmtId="0" fontId="2" fillId="0" borderId="22" xfId="0" applyFont="1" applyBorder="1" applyAlignment="1">
      <alignment horizontal="left" vertical="center"/>
    </xf>
    <xf numFmtId="0" fontId="2" fillId="0" borderId="25" xfId="0" applyFont="1" applyBorder="1" applyAlignment="1">
      <alignment horizontal="left" vertical="center"/>
    </xf>
    <xf numFmtId="0" fontId="6" fillId="0" borderId="26" xfId="0" applyFont="1" applyBorder="1" applyAlignment="1">
      <alignment vertical="center"/>
    </xf>
    <xf numFmtId="0" fontId="6" fillId="0" borderId="8" xfId="0" applyFont="1" applyBorder="1" applyAlignment="1">
      <alignment vertical="center"/>
    </xf>
    <xf numFmtId="0" fontId="6" fillId="0" borderId="5" xfId="0" applyFont="1" applyBorder="1" applyAlignment="1">
      <alignment vertical="center"/>
    </xf>
    <xf numFmtId="0" fontId="2" fillId="11" borderId="6" xfId="0" applyFont="1" applyFill="1" applyBorder="1" applyAlignment="1">
      <alignment horizontal="center" vertical="center" wrapText="1"/>
    </xf>
    <xf numFmtId="0" fontId="2" fillId="11" borderId="5"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5" xfId="0" applyFont="1" applyBorder="1" applyAlignment="1">
      <alignment horizontal="center" vertical="center" wrapText="1"/>
    </xf>
    <xf numFmtId="0" fontId="2" fillId="0" borderId="8" xfId="0" applyFont="1" applyBorder="1" applyAlignment="1">
      <alignment horizontal="center" vertical="center" wrapText="1"/>
    </xf>
    <xf numFmtId="0" fontId="2" fillId="0" borderId="13" xfId="0" applyFont="1" applyBorder="1" applyAlignment="1">
      <alignment horizontal="center" vertical="center" wrapText="1"/>
    </xf>
    <xf numFmtId="0" fontId="2" fillId="0" borderId="27" xfId="0" applyFont="1" applyBorder="1" applyAlignment="1">
      <alignment horizontal="center" vertical="center" wrapText="1"/>
    </xf>
    <xf numFmtId="0" fontId="6" fillId="0" borderId="28" xfId="0" applyFont="1" applyBorder="1" applyAlignment="1">
      <alignment vertical="center" wrapText="1"/>
    </xf>
    <xf numFmtId="0" fontId="6" fillId="0" borderId="14" xfId="0" applyFont="1" applyBorder="1" applyAlignment="1">
      <alignment vertical="center" wrapText="1"/>
    </xf>
    <xf numFmtId="0" fontId="6" fillId="0" borderId="29" xfId="0" applyFont="1" applyBorder="1" applyAlignment="1">
      <alignment vertical="center"/>
    </xf>
    <xf numFmtId="0" fontId="3" fillId="0" borderId="13" xfId="0" applyFont="1" applyBorder="1" applyAlignment="1">
      <alignment horizontal="center" vertical="center" wrapText="1"/>
    </xf>
    <xf numFmtId="0" fontId="3" fillId="0" borderId="29"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57" xfId="0" applyFont="1" applyBorder="1" applyAlignment="1">
      <alignment horizontal="center" vertical="center" shrinkToFit="1"/>
    </xf>
    <xf numFmtId="0" fontId="3" fillId="0" borderId="60" xfId="0" applyFont="1" applyBorder="1" applyAlignment="1">
      <alignment horizontal="center" vertical="center" shrinkToFit="1"/>
    </xf>
    <xf numFmtId="0" fontId="6" fillId="3" borderId="14"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0" fillId="4" borderId="29" xfId="0" applyFill="1" applyBorder="1" applyAlignment="1">
      <alignment horizontal="center" vertical="center"/>
    </xf>
    <xf numFmtId="0" fontId="6" fillId="4" borderId="14" xfId="0" applyFont="1" applyFill="1" applyBorder="1" applyAlignment="1">
      <alignment horizontal="center" vertical="center" shrinkToFit="1"/>
    </xf>
    <xf numFmtId="0" fontId="6" fillId="5" borderId="88" xfId="0" applyFont="1" applyFill="1" applyBorder="1" applyAlignment="1">
      <alignment horizontal="center" vertical="top" wrapText="1"/>
    </xf>
    <xf numFmtId="0" fontId="0" fillId="0" borderId="89" xfId="0" applyBorder="1" applyAlignment="1">
      <alignment horizontal="center" vertical="top" wrapText="1"/>
    </xf>
    <xf numFmtId="0" fontId="3" fillId="5" borderId="69" xfId="0" applyFont="1" applyFill="1" applyBorder="1" applyAlignment="1">
      <alignment horizontal="center" vertical="center"/>
    </xf>
    <xf numFmtId="0" fontId="3" fillId="5" borderId="83" xfId="0" applyFont="1" applyFill="1" applyBorder="1" applyAlignment="1">
      <alignment horizontal="center" vertical="center"/>
    </xf>
    <xf numFmtId="0" fontId="3" fillId="5" borderId="43" xfId="0" applyFont="1" applyFill="1" applyBorder="1" applyAlignment="1">
      <alignment horizontal="center" vertical="center"/>
    </xf>
    <xf numFmtId="0" fontId="3" fillId="5" borderId="54" xfId="0" applyFont="1" applyFill="1" applyBorder="1" applyAlignment="1">
      <alignment horizontal="center" vertical="center"/>
    </xf>
    <xf numFmtId="0" fontId="6" fillId="0" borderId="28" xfId="0" applyFont="1" applyBorder="1" applyAlignment="1">
      <alignment vertical="center"/>
    </xf>
    <xf numFmtId="0" fontId="6" fillId="0" borderId="14" xfId="0" applyFont="1" applyBorder="1" applyAlignment="1">
      <alignment vertical="center"/>
    </xf>
    <xf numFmtId="0" fontId="3" fillId="11" borderId="57" xfId="0" applyFont="1" applyFill="1" applyBorder="1" applyAlignment="1">
      <alignment horizontal="center" vertical="center" shrinkToFit="1"/>
    </xf>
    <xf numFmtId="0" fontId="3" fillId="11" borderId="58" xfId="0" applyFont="1" applyFill="1" applyBorder="1" applyAlignment="1">
      <alignment horizontal="center" vertical="center" shrinkToFit="1"/>
    </xf>
    <xf numFmtId="0" fontId="3" fillId="0" borderId="58" xfId="0" applyFont="1" applyBorder="1" applyAlignment="1">
      <alignment horizontal="center" vertical="center" shrinkToFit="1"/>
    </xf>
    <xf numFmtId="0" fontId="3" fillId="0" borderId="59" xfId="0" applyFont="1" applyBorder="1" applyAlignment="1">
      <alignment horizontal="center" vertical="center" shrinkToFit="1"/>
    </xf>
    <xf numFmtId="0" fontId="3" fillId="0" borderId="69" xfId="0" applyFont="1" applyBorder="1" applyAlignment="1">
      <alignment vertical="center" shrinkToFit="1"/>
    </xf>
    <xf numFmtId="0" fontId="3" fillId="0" borderId="84" xfId="0" applyFont="1" applyBorder="1" applyAlignment="1">
      <alignment vertical="center" shrinkToFit="1"/>
    </xf>
    <xf numFmtId="0" fontId="3" fillId="0" borderId="57" xfId="0" applyFont="1" applyBorder="1" applyAlignment="1">
      <alignment vertical="center"/>
    </xf>
    <xf numFmtId="0" fontId="0" fillId="0" borderId="59" xfId="0" applyBorder="1" applyAlignment="1">
      <alignment vertical="center"/>
    </xf>
    <xf numFmtId="0" fontId="0" fillId="0" borderId="58" xfId="0" applyBorder="1" applyAlignment="1">
      <alignment vertical="center"/>
    </xf>
    <xf numFmtId="0" fontId="3" fillId="0" borderId="31" xfId="0" applyFont="1" applyBorder="1" applyAlignment="1">
      <alignment horizontal="center" vertical="center"/>
    </xf>
    <xf numFmtId="0" fontId="3" fillId="0" borderId="0" xfId="0" applyFont="1" applyBorder="1" applyAlignment="1">
      <alignment horizontal="center" vertical="center"/>
    </xf>
    <xf numFmtId="0" fontId="3" fillId="0" borderId="28" xfId="0" applyFont="1" applyBorder="1" applyAlignment="1">
      <alignment horizontal="center" vertical="center"/>
    </xf>
    <xf numFmtId="0" fontId="3" fillId="0" borderId="14" xfId="0" applyFont="1" applyBorder="1" applyAlignment="1">
      <alignment horizontal="center" vertical="center"/>
    </xf>
    <xf numFmtId="0" fontId="3" fillId="0" borderId="29" xfId="0" applyFont="1" applyBorder="1" applyAlignment="1">
      <alignment horizontal="center" vertical="center"/>
    </xf>
    <xf numFmtId="0" fontId="6" fillId="5" borderId="14" xfId="0" applyFont="1" applyFill="1" applyBorder="1" applyAlignment="1">
      <alignment horizontal="center" vertical="center" shrinkToFit="1"/>
    </xf>
    <xf numFmtId="0" fontId="2" fillId="0" borderId="43" xfId="0" applyFont="1" applyBorder="1" applyAlignment="1">
      <alignment horizontal="left" vertical="center" shrinkToFit="1"/>
    </xf>
    <xf numFmtId="0" fontId="2" fillId="0" borderId="54" xfId="0" applyFont="1" applyBorder="1" applyAlignment="1">
      <alignment horizontal="left" vertical="center" shrinkToFit="1"/>
    </xf>
    <xf numFmtId="0" fontId="3" fillId="0" borderId="82" xfId="0" applyFont="1" applyBorder="1" applyAlignment="1">
      <alignment vertical="center" shrinkToFit="1"/>
    </xf>
    <xf numFmtId="0" fontId="3" fillId="0" borderId="83" xfId="0" applyFont="1" applyBorder="1" applyAlignment="1">
      <alignment vertical="center" shrinkToFit="1"/>
    </xf>
    <xf numFmtId="38" fontId="2" fillId="0" borderId="108" xfId="1" applyFont="1" applyBorder="1" applyAlignment="1">
      <alignment horizontal="center" vertical="center"/>
    </xf>
    <xf numFmtId="38" fontId="2" fillId="0" borderId="109" xfId="1" applyFont="1" applyBorder="1" applyAlignment="1">
      <alignment horizontal="center" vertical="center"/>
    </xf>
    <xf numFmtId="0" fontId="3" fillId="0" borderId="100" xfId="0" applyFont="1" applyBorder="1" applyAlignment="1">
      <alignment horizontal="center" vertical="center"/>
    </xf>
    <xf numFmtId="0" fontId="3" fillId="0" borderId="101" xfId="0" applyFont="1" applyBorder="1" applyAlignment="1">
      <alignment horizontal="center" vertical="center"/>
    </xf>
    <xf numFmtId="0" fontId="3" fillId="0" borderId="102" xfId="0" applyFont="1" applyBorder="1" applyAlignment="1">
      <alignment horizontal="center" vertical="center"/>
    </xf>
    <xf numFmtId="40" fontId="3" fillId="11" borderId="103" xfId="1" applyNumberFormat="1" applyFont="1" applyFill="1" applyBorder="1" applyAlignment="1">
      <alignment horizontal="center" vertical="center"/>
    </xf>
    <xf numFmtId="40" fontId="3" fillId="11" borderId="102" xfId="1" applyNumberFormat="1" applyFont="1" applyFill="1" applyBorder="1" applyAlignment="1">
      <alignment horizontal="center" vertical="center"/>
    </xf>
    <xf numFmtId="40" fontId="3" fillId="0" borderId="103" xfId="1" applyNumberFormat="1" applyFont="1" applyBorder="1" applyAlignment="1">
      <alignment horizontal="center" vertical="center"/>
    </xf>
    <xf numFmtId="40" fontId="3" fillId="0" borderId="102" xfId="1" applyNumberFormat="1" applyFont="1" applyBorder="1" applyAlignment="1">
      <alignment horizontal="center" vertical="center"/>
    </xf>
    <xf numFmtId="40" fontId="3" fillId="0" borderId="101" xfId="1" applyNumberFormat="1" applyFont="1" applyBorder="1" applyAlignment="1">
      <alignment horizontal="center" vertical="center"/>
    </xf>
    <xf numFmtId="40" fontId="3" fillId="0" borderId="104" xfId="1" applyNumberFormat="1" applyFont="1" applyBorder="1" applyAlignment="1">
      <alignment horizontal="center" vertical="center"/>
    </xf>
    <xf numFmtId="0" fontId="3" fillId="6" borderId="13" xfId="0" applyFont="1" applyFill="1" applyBorder="1" applyAlignment="1">
      <alignment vertical="center"/>
    </xf>
    <xf numFmtId="0" fontId="3" fillId="0" borderId="14" xfId="0" applyFont="1" applyBorder="1" applyAlignment="1">
      <alignment vertical="center"/>
    </xf>
    <xf numFmtId="0" fontId="6" fillId="7" borderId="110" xfId="0" applyFont="1" applyFill="1" applyBorder="1" applyAlignment="1">
      <alignment horizontal="center" vertical="center"/>
    </xf>
    <xf numFmtId="0" fontId="6" fillId="7" borderId="111" xfId="0" applyFont="1" applyFill="1" applyBorder="1" applyAlignment="1">
      <alignment horizontal="center" vertical="center"/>
    </xf>
    <xf numFmtId="0" fontId="6" fillId="7" borderId="31" xfId="0" applyFont="1" applyFill="1" applyBorder="1" applyAlignment="1">
      <alignment horizontal="center" vertical="center"/>
    </xf>
    <xf numFmtId="0" fontId="6" fillId="7" borderId="0" xfId="0" applyFont="1" applyFill="1" applyBorder="1" applyAlignment="1">
      <alignment horizontal="center" vertical="center"/>
    </xf>
    <xf numFmtId="0" fontId="3" fillId="9" borderId="24" xfId="0" applyFont="1" applyFill="1" applyBorder="1" applyAlignment="1">
      <alignment horizontal="center" vertical="center"/>
    </xf>
    <xf numFmtId="0" fontId="3" fillId="9" borderId="22" xfId="0" applyFont="1" applyFill="1" applyBorder="1" applyAlignment="1">
      <alignment horizontal="center" vertical="center"/>
    </xf>
    <xf numFmtId="0" fontId="3" fillId="9" borderId="23" xfId="0" applyFont="1" applyFill="1" applyBorder="1" applyAlignment="1">
      <alignment horizontal="center" vertical="center"/>
    </xf>
    <xf numFmtId="0" fontId="3" fillId="9" borderId="62" xfId="0" applyFont="1" applyFill="1" applyBorder="1" applyAlignment="1">
      <alignment horizontal="right" vertical="center"/>
    </xf>
    <xf numFmtId="0" fontId="3" fillId="9" borderId="120" xfId="0" applyFont="1" applyFill="1" applyBorder="1" applyAlignment="1">
      <alignment horizontal="right" vertical="center"/>
    </xf>
    <xf numFmtId="164" fontId="10" fillId="0" borderId="43" xfId="0" applyNumberFormat="1" applyFont="1" applyBorder="1" applyAlignment="1">
      <alignment horizontal="left" vertical="center" shrinkToFit="1"/>
    </xf>
    <xf numFmtId="164" fontId="10" fillId="0" borderId="53" xfId="0" applyNumberFormat="1" applyFont="1" applyBorder="1" applyAlignment="1">
      <alignment horizontal="left" vertical="center" shrinkToFit="1"/>
    </xf>
    <xf numFmtId="164" fontId="10" fillId="0" borderId="54" xfId="0" applyNumberFormat="1" applyFont="1" applyBorder="1" applyAlignment="1">
      <alignment horizontal="left" vertical="center" shrinkToFit="1"/>
    </xf>
    <xf numFmtId="0" fontId="3" fillId="6" borderId="103" xfId="0" applyFont="1" applyFill="1" applyBorder="1" applyAlignment="1">
      <alignment vertical="center"/>
    </xf>
    <xf numFmtId="0" fontId="3" fillId="0" borderId="101" xfId="0" applyFont="1" applyBorder="1" applyAlignment="1">
      <alignment vertical="center"/>
    </xf>
    <xf numFmtId="0" fontId="6" fillId="0" borderId="105" xfId="0" applyFont="1" applyFill="1" applyBorder="1" applyAlignment="1">
      <alignment horizontal="center" vertical="center"/>
    </xf>
    <xf numFmtId="0" fontId="6" fillId="0" borderId="106" xfId="0" applyFont="1" applyFill="1" applyBorder="1" applyAlignment="1">
      <alignment horizontal="center" vertical="center"/>
    </xf>
    <xf numFmtId="38" fontId="1" fillId="0" borderId="107" xfId="1" applyFont="1" applyBorder="1" applyAlignment="1">
      <alignment horizontal="center" vertical="center"/>
    </xf>
    <xf numFmtId="38" fontId="1" fillId="0" borderId="106" xfId="1" applyFont="1" applyBorder="1" applyAlignment="1">
      <alignment horizontal="center" vertical="center"/>
    </xf>
    <xf numFmtId="168" fontId="6" fillId="0" borderId="13" xfId="0" applyNumberFormat="1" applyFont="1" applyBorder="1" applyAlignment="1">
      <alignment horizontal="left" vertical="center" indent="1"/>
    </xf>
    <xf numFmtId="168" fontId="6" fillId="0" borderId="27" xfId="0" applyNumberFormat="1" applyFont="1" applyBorder="1" applyAlignment="1">
      <alignment horizontal="left" vertical="center" indent="1"/>
    </xf>
    <xf numFmtId="0" fontId="6" fillId="9" borderId="13" xfId="0" applyFont="1" applyFill="1" applyBorder="1" applyAlignment="1">
      <alignment horizontal="center" vertical="center"/>
    </xf>
    <xf numFmtId="0" fontId="6" fillId="9" borderId="14" xfId="0" applyFont="1" applyFill="1" applyBorder="1" applyAlignment="1">
      <alignment horizontal="center" vertical="center"/>
    </xf>
    <xf numFmtId="38" fontId="6" fillId="11" borderId="13" xfId="1" applyFont="1" applyFill="1" applyBorder="1" applyAlignment="1">
      <alignment horizontal="left" vertical="center" indent="1"/>
    </xf>
    <xf numFmtId="38" fontId="0" fillId="11" borderId="29" xfId="1" applyFont="1" applyFill="1" applyBorder="1" applyAlignment="1">
      <alignment horizontal="left" vertical="center" indent="1"/>
    </xf>
    <xf numFmtId="38" fontId="6" fillId="0" borderId="13" xfId="1" applyFont="1" applyFill="1" applyBorder="1" applyAlignment="1">
      <alignment horizontal="left" vertical="center" indent="1"/>
    </xf>
    <xf numFmtId="38" fontId="0" fillId="0" borderId="29" xfId="1" applyFont="1" applyBorder="1" applyAlignment="1">
      <alignment horizontal="left" vertical="center" indent="1"/>
    </xf>
    <xf numFmtId="38" fontId="0" fillId="0" borderId="14" xfId="1" applyFont="1" applyBorder="1" applyAlignment="1">
      <alignment horizontal="left" vertical="center" indent="1"/>
    </xf>
    <xf numFmtId="38" fontId="6" fillId="0" borderId="27" xfId="1" applyFont="1" applyFill="1" applyBorder="1" applyAlignment="1">
      <alignment horizontal="left" vertical="center" indent="1"/>
    </xf>
    <xf numFmtId="164" fontId="10" fillId="0" borderId="55" xfId="0" applyNumberFormat="1" applyFont="1" applyBorder="1" applyAlignment="1">
      <alignment horizontal="left" vertical="center" shrinkToFit="1"/>
    </xf>
    <xf numFmtId="38" fontId="6" fillId="0" borderId="13" xfId="1" applyFont="1" applyBorder="1" applyAlignment="1">
      <alignment horizontal="left" vertical="center" indent="1"/>
    </xf>
    <xf numFmtId="38" fontId="6" fillId="0" borderId="27" xfId="1" applyFont="1" applyBorder="1" applyAlignment="1">
      <alignment horizontal="left" vertical="center" indent="1"/>
    </xf>
    <xf numFmtId="0" fontId="3" fillId="0" borderId="100" xfId="3" applyFont="1" applyFill="1" applyBorder="1" applyAlignment="1">
      <alignment horizontal="center" vertical="center"/>
    </xf>
    <xf numFmtId="0" fontId="3" fillId="0" borderId="101" xfId="3" applyFont="1" applyFill="1" applyBorder="1" applyAlignment="1">
      <alignment horizontal="center" vertical="center"/>
    </xf>
    <xf numFmtId="0" fontId="6" fillId="0" borderId="105" xfId="0" applyFont="1" applyFill="1" applyBorder="1" applyAlignment="1">
      <alignment horizontal="left" vertical="center"/>
    </xf>
    <xf numFmtId="0" fontId="6" fillId="0" borderId="106" xfId="0" applyFont="1" applyFill="1" applyBorder="1" applyAlignment="1">
      <alignment horizontal="left" vertical="center"/>
    </xf>
    <xf numFmtId="40" fontId="6" fillId="0" borderId="108" xfId="1" applyNumberFormat="1" applyFont="1" applyBorder="1" applyAlignment="1">
      <alignment horizontal="left" vertical="center" indent="1"/>
    </xf>
    <xf numFmtId="40" fontId="0" fillId="0" borderId="107" xfId="1" applyNumberFormat="1" applyFont="1" applyBorder="1" applyAlignment="1">
      <alignment horizontal="left" vertical="center" indent="1"/>
    </xf>
    <xf numFmtId="168" fontId="6" fillId="11" borderId="13" xfId="0" applyNumberFormat="1" applyFont="1" applyFill="1" applyBorder="1" applyAlignment="1">
      <alignment horizontal="left" vertical="center" indent="1"/>
    </xf>
    <xf numFmtId="168" fontId="0" fillId="11" borderId="29" xfId="0" applyNumberFormat="1" applyFill="1" applyBorder="1" applyAlignment="1">
      <alignment horizontal="left" vertical="center" indent="1"/>
    </xf>
    <xf numFmtId="168" fontId="0" fillId="0" borderId="29" xfId="0" applyNumberFormat="1" applyBorder="1" applyAlignment="1">
      <alignment horizontal="left" vertical="center" indent="1"/>
    </xf>
    <xf numFmtId="168" fontId="0" fillId="0" borderId="14" xfId="0" applyNumberFormat="1" applyBorder="1" applyAlignment="1">
      <alignment horizontal="left" vertical="center" indent="1"/>
    </xf>
    <xf numFmtId="40" fontId="6" fillId="0" borderId="109" xfId="1" applyNumberFormat="1" applyFont="1" applyBorder="1" applyAlignment="1">
      <alignment horizontal="left" vertical="center" indent="1"/>
    </xf>
    <xf numFmtId="0" fontId="2" fillId="10" borderId="28" xfId="0" applyFont="1" applyFill="1" applyBorder="1" applyAlignment="1">
      <alignment horizontal="left" vertical="center"/>
    </xf>
    <xf numFmtId="0" fontId="2" fillId="10" borderId="14" xfId="0" applyFont="1" applyFill="1" applyBorder="1" applyAlignment="1">
      <alignment horizontal="left" vertical="center"/>
    </xf>
    <xf numFmtId="40" fontId="6" fillId="0" borderId="106" xfId="1" applyNumberFormat="1" applyFont="1" applyBorder="1" applyAlignment="1">
      <alignment horizontal="left" vertical="center" indent="1"/>
    </xf>
    <xf numFmtId="0" fontId="15" fillId="0" borderId="26" xfId="0" applyFont="1" applyFill="1" applyBorder="1" applyAlignment="1">
      <alignment horizontal="center" vertical="center" shrinkToFit="1"/>
    </xf>
    <xf numFmtId="0" fontId="15" fillId="0" borderId="8" xfId="0" applyFont="1" applyFill="1" applyBorder="1" applyAlignment="1">
      <alignment horizontal="center" vertical="center" shrinkToFit="1"/>
    </xf>
    <xf numFmtId="0" fontId="6" fillId="0" borderId="136" xfId="0" applyFont="1" applyBorder="1" applyAlignment="1">
      <alignment horizontal="center" vertical="center"/>
    </xf>
    <xf numFmtId="0" fontId="6" fillId="0" borderId="137" xfId="0" applyFont="1" applyBorder="1" applyAlignment="1">
      <alignment horizontal="center" vertical="center"/>
    </xf>
    <xf numFmtId="14" fontId="2" fillId="0" borderId="137" xfId="0" applyNumberFormat="1" applyFont="1" applyBorder="1" applyAlignment="1">
      <alignment horizontal="left" vertical="center"/>
    </xf>
    <xf numFmtId="0" fontId="2" fillId="0" borderId="137" xfId="0" applyNumberFormat="1" applyFont="1" applyBorder="1" applyAlignment="1">
      <alignment horizontal="left" vertical="center"/>
    </xf>
    <xf numFmtId="14" fontId="2" fillId="0" borderId="138" xfId="0" applyNumberFormat="1" applyFont="1" applyBorder="1" applyAlignment="1">
      <alignment horizontal="left" vertical="center"/>
    </xf>
    <xf numFmtId="0" fontId="2" fillId="10" borderId="127" xfId="0" applyFont="1" applyFill="1" applyBorder="1" applyAlignment="1">
      <alignment horizontal="left" vertical="center"/>
    </xf>
    <xf numFmtId="0" fontId="2" fillId="10" borderId="128" xfId="0" applyFont="1" applyFill="1" applyBorder="1" applyAlignment="1">
      <alignment horizontal="left" vertical="center"/>
    </xf>
    <xf numFmtId="0" fontId="15" fillId="0" borderId="110" xfId="0" applyFont="1" applyBorder="1" applyAlignment="1">
      <alignment horizontal="center" vertical="center"/>
    </xf>
    <xf numFmtId="0" fontId="15" fillId="0" borderId="111" xfId="0" applyFont="1" applyBorder="1" applyAlignment="1">
      <alignment horizontal="center" vertical="center"/>
    </xf>
    <xf numFmtId="0" fontId="15" fillId="0" borderId="130" xfId="0" applyFont="1" applyBorder="1" applyAlignment="1">
      <alignment horizontal="center" vertical="center"/>
    </xf>
    <xf numFmtId="0" fontId="15" fillId="0" borderId="26" xfId="0" applyFont="1" applyBorder="1" applyAlignment="1">
      <alignment horizontal="center" vertical="center"/>
    </xf>
    <xf numFmtId="0" fontId="15" fillId="0" borderId="8" xfId="0" applyFont="1" applyBorder="1" applyAlignment="1">
      <alignment horizontal="center" vertical="center"/>
    </xf>
    <xf numFmtId="0" fontId="15" fillId="0" borderId="135" xfId="0" applyFont="1" applyBorder="1" applyAlignment="1">
      <alignment horizontal="center" vertical="center"/>
    </xf>
    <xf numFmtId="40" fontId="15" fillId="0" borderId="57" xfId="1" applyNumberFormat="1" applyFont="1" applyBorder="1" applyAlignment="1">
      <alignment horizontal="left" vertical="center" indent="1"/>
    </xf>
    <xf numFmtId="40" fontId="18" fillId="0" borderId="58" xfId="1" applyNumberFormat="1" applyFont="1" applyBorder="1" applyAlignment="1">
      <alignment horizontal="left" vertical="center" indent="1"/>
    </xf>
    <xf numFmtId="40" fontId="15" fillId="0" borderId="60" xfId="1" applyNumberFormat="1" applyFont="1" applyBorder="1" applyAlignment="1">
      <alignment horizontal="left" vertical="center" indent="1"/>
    </xf>
    <xf numFmtId="0" fontId="2" fillId="0" borderId="105" xfId="0" applyFont="1" applyBorder="1" applyAlignment="1">
      <alignment horizontal="center" vertical="center" wrapText="1"/>
    </xf>
    <xf numFmtId="0" fontId="2" fillId="0" borderId="106" xfId="0" applyFont="1" applyBorder="1" applyAlignment="1">
      <alignment horizontal="center" vertical="center"/>
    </xf>
    <xf numFmtId="0" fontId="2" fillId="0" borderId="107" xfId="0" applyFont="1" applyBorder="1" applyAlignment="1">
      <alignment horizontal="center" vertical="center"/>
    </xf>
    <xf numFmtId="0" fontId="3" fillId="0" borderId="108" xfId="0" applyFont="1" applyBorder="1" applyAlignment="1">
      <alignment vertical="top" wrapText="1"/>
    </xf>
    <xf numFmtId="0" fontId="3" fillId="0" borderId="107" xfId="0" applyFont="1" applyBorder="1" applyAlignment="1">
      <alignment vertical="top" wrapText="1"/>
    </xf>
    <xf numFmtId="0" fontId="3" fillId="0" borderId="109" xfId="0" applyFont="1" applyBorder="1" applyAlignment="1">
      <alignment vertical="top" wrapText="1"/>
    </xf>
    <xf numFmtId="0" fontId="6" fillId="0" borderId="139" xfId="0" applyFont="1" applyBorder="1" applyAlignment="1">
      <alignment horizontal="center" vertical="center"/>
    </xf>
    <xf numFmtId="0" fontId="6" fillId="0" borderId="1" xfId="0" applyFont="1" applyBorder="1" applyAlignment="1">
      <alignment horizontal="center" vertical="center"/>
    </xf>
    <xf numFmtId="170" fontId="2" fillId="0" borderId="1" xfId="0" applyNumberFormat="1" applyFont="1" applyBorder="1" applyAlignment="1">
      <alignment horizontal="left" vertical="center"/>
    </xf>
    <xf numFmtId="14" fontId="2" fillId="0" borderId="1" xfId="0" applyNumberFormat="1" applyFont="1" applyBorder="1" applyAlignment="1">
      <alignment horizontal="left" vertical="center"/>
    </xf>
    <xf numFmtId="0" fontId="2" fillId="0" borderId="1" xfId="0" applyNumberFormat="1" applyFont="1" applyBorder="1" applyAlignment="1">
      <alignment horizontal="left" vertical="center"/>
    </xf>
    <xf numFmtId="14" fontId="2" fillId="0" borderId="99" xfId="0" applyNumberFormat="1" applyFont="1" applyBorder="1" applyAlignment="1">
      <alignment horizontal="left" vertical="center"/>
    </xf>
    <xf numFmtId="0" fontId="6" fillId="0" borderId="140" xfId="0" applyFont="1" applyBorder="1" applyAlignment="1">
      <alignment horizontal="center" vertical="center"/>
    </xf>
    <xf numFmtId="0" fontId="6" fillId="0" borderId="141" xfId="0" applyFont="1" applyBorder="1" applyAlignment="1">
      <alignment horizontal="center" vertical="center"/>
    </xf>
    <xf numFmtId="170" fontId="2" fillId="0" borderId="141" xfId="0" applyNumberFormat="1" applyFont="1" applyBorder="1" applyAlignment="1">
      <alignment horizontal="left" vertical="center"/>
    </xf>
    <xf numFmtId="14" fontId="2" fillId="0" borderId="141" xfId="0" applyNumberFormat="1" applyFont="1" applyBorder="1" applyAlignment="1">
      <alignment horizontal="left" vertical="center"/>
    </xf>
    <xf numFmtId="0" fontId="2" fillId="0" borderId="141" xfId="0" applyNumberFormat="1" applyFont="1" applyBorder="1" applyAlignment="1">
      <alignment horizontal="left" vertical="center"/>
    </xf>
    <xf numFmtId="14" fontId="2" fillId="0" borderId="142" xfId="0" applyNumberFormat="1" applyFont="1" applyBorder="1" applyAlignment="1">
      <alignment horizontal="left" vertical="center"/>
    </xf>
    <xf numFmtId="0" fontId="24" fillId="0" borderId="1" xfId="0" applyFont="1" applyBorder="1" applyAlignment="1">
      <alignment horizontal="center"/>
    </xf>
  </cellXfs>
  <cellStyles count="7">
    <cellStyle name="Comma [0]" xfId="1" builtinId="6"/>
    <cellStyle name="Normal" xfId="0" builtinId="0"/>
    <cellStyle name="Percent" xfId="2" builtinId="5"/>
    <cellStyle name="標準 2" xfId="4"/>
    <cellStyle name="標準 2 3" xfId="5"/>
    <cellStyle name="標準_【変更】新部品見積明細フォーマットP003" xfId="6"/>
    <cellStyle name="標準_海外生産・単品"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38100</xdr:rowOff>
    </xdr:from>
    <xdr:to>
      <xdr:col>4</xdr:col>
      <xdr:colOff>748393</xdr:colOff>
      <xdr:row>7</xdr:row>
      <xdr:rowOff>19050</xdr:rowOff>
    </xdr:to>
    <xdr:grpSp>
      <xdr:nvGrpSpPr>
        <xdr:cNvPr id="2" name="Group 45"/>
        <xdr:cNvGrpSpPr>
          <a:grpSpLocks/>
        </xdr:cNvGrpSpPr>
      </xdr:nvGrpSpPr>
      <xdr:grpSpPr bwMode="auto">
        <a:xfrm>
          <a:off x="28575" y="38100"/>
          <a:ext cx="5033282" cy="2784021"/>
          <a:chOff x="3" y="0"/>
          <a:chExt cx="503" cy="122"/>
        </a:xfrm>
      </xdr:grpSpPr>
      <xdr:sp macro="" textlink="">
        <xdr:nvSpPr>
          <xdr:cNvPr id="3" name="Rectangle 17"/>
          <xdr:cNvSpPr>
            <a:spLocks noChangeArrowheads="1"/>
          </xdr:cNvSpPr>
        </xdr:nvSpPr>
        <xdr:spPr bwMode="auto">
          <a:xfrm>
            <a:off x="6" y="5"/>
            <a:ext cx="500" cy="90"/>
          </a:xfrm>
          <a:prstGeom prst="rect">
            <a:avLst/>
          </a:prstGeom>
          <a:noFill/>
          <a:ln w="76200" cmpd="tri">
            <a:noFill/>
            <a:miter lim="800000"/>
            <a:headEnd/>
            <a:tailEnd/>
          </a:ln>
        </xdr:spPr>
        <xdr:txBody>
          <a:bodyPr vertOverflow="clip" wrap="square" lIns="126000" tIns="118800" rIns="126000" bIns="118800" anchor="ctr" upright="1"/>
          <a:lstStyle/>
          <a:p>
            <a:pPr algn="dist" rtl="0">
              <a:defRPr sz="1000"/>
            </a:pPr>
            <a:r>
              <a:rPr lang="en-US" altLang="ja-JP" sz="3600" b="1" i="0" u="none" strike="noStrike" baseline="0">
                <a:solidFill>
                  <a:srgbClr val="000000"/>
                </a:solidFill>
                <a:latin typeface="ＭＳ Ｐ明朝"/>
                <a:ea typeface="ＭＳ Ｐ明朝"/>
              </a:rPr>
              <a:t>Quotation cost </a:t>
            </a:r>
            <a:endParaRPr lang="ja-JP" altLang="en-US" sz="3600" b="1" i="0" u="none" strike="noStrike" baseline="0">
              <a:solidFill>
                <a:srgbClr val="000000"/>
              </a:solidFill>
              <a:latin typeface="ＭＳ Ｐ明朝"/>
              <a:ea typeface="ＭＳ Ｐ明朝"/>
            </a:endParaRPr>
          </a:p>
        </xdr:txBody>
      </xdr:sp>
      <xdr:sp macro="" textlink="">
        <xdr:nvSpPr>
          <xdr:cNvPr id="4" name="Rectangle 18"/>
          <xdr:cNvSpPr>
            <a:spLocks noChangeArrowheads="1"/>
          </xdr:cNvSpPr>
        </xdr:nvSpPr>
        <xdr:spPr bwMode="auto">
          <a:xfrm>
            <a:off x="3" y="0"/>
            <a:ext cx="500" cy="122"/>
          </a:xfrm>
          <a:prstGeom prst="rect">
            <a:avLst/>
          </a:prstGeom>
          <a:noFill/>
          <a:ln w="76200" cmpd="tri">
            <a:solidFill>
              <a:srgbClr val="000000"/>
            </a:solidFill>
            <a:miter lim="800000"/>
            <a:headEnd/>
            <a:tailEnd/>
          </a:ln>
        </xdr:spPr>
      </xdr:sp>
      <xdr:sp macro="" textlink="">
        <xdr:nvSpPr>
          <xdr:cNvPr id="5" name="Rectangle 19"/>
          <xdr:cNvSpPr>
            <a:spLocks noChangeArrowheads="1"/>
          </xdr:cNvSpPr>
        </xdr:nvSpPr>
        <xdr:spPr bwMode="auto">
          <a:xfrm>
            <a:off x="80" y="80"/>
            <a:ext cx="359" cy="22"/>
          </a:xfrm>
          <a:prstGeom prst="rect">
            <a:avLst/>
          </a:prstGeom>
          <a:noFill/>
          <a:ln w="9525">
            <a:noFill/>
            <a:miter lim="800000"/>
            <a:headEnd/>
            <a:tailEnd/>
          </a:ln>
        </xdr:spPr>
        <xdr:txBody>
          <a:bodyPr vertOverflow="clip" wrap="square" lIns="36576" tIns="22860" rIns="36576" bIns="22860" anchor="ctr" upright="1"/>
          <a:lstStyle/>
          <a:p>
            <a:pPr algn="dist" rtl="0">
              <a:defRPr sz="1000"/>
            </a:pPr>
            <a:r>
              <a:rPr lang="en-US" altLang="ja-JP" sz="1400" b="1" i="0" u="none" strike="noStrike" baseline="0">
                <a:solidFill>
                  <a:srgbClr val="000000"/>
                </a:solidFill>
                <a:latin typeface="ＭＳ Ｐ明朝"/>
                <a:ea typeface="ＭＳ Ｐ明朝"/>
              </a:rPr>
              <a:t>(Single parts</a:t>
            </a:r>
            <a:r>
              <a:rPr lang="ja-JP" altLang="en-US" sz="1400" b="1" i="0" u="none" strike="noStrike" baseline="0">
                <a:solidFill>
                  <a:srgbClr val="000000"/>
                </a:solidFill>
                <a:latin typeface="ＭＳ Ｐ明朝"/>
                <a:ea typeface="ＭＳ Ｐ明朝"/>
              </a:rPr>
              <a:t>）</a:t>
            </a:r>
          </a:p>
        </xdr:txBody>
      </xdr:sp>
      <xdr:sp macro="" textlink="">
        <xdr:nvSpPr>
          <xdr:cNvPr id="6" name="Rectangle 20"/>
          <xdr:cNvSpPr>
            <a:spLocks noChangeArrowheads="1"/>
          </xdr:cNvSpPr>
        </xdr:nvSpPr>
        <xdr:spPr bwMode="auto">
          <a:xfrm>
            <a:off x="450" y="91"/>
            <a:ext cx="37" cy="9"/>
          </a:xfrm>
          <a:prstGeom prst="rect">
            <a:avLst/>
          </a:prstGeom>
          <a:noFill/>
          <a:ln w="9525">
            <a:noFill/>
            <a:miter lim="800000"/>
            <a:headEnd/>
            <a:tailEnd/>
          </a:ln>
        </xdr:spPr>
        <xdr:txBody>
          <a:bodyPr wrap="none" lIns="18288" tIns="18288" rIns="18288" bIns="18288" anchor="ctr" upright="1">
            <a:spAutoFit/>
          </a:bodyPr>
          <a:lstStyle/>
          <a:p>
            <a:pPr algn="ctr" rtl="0">
              <a:defRPr sz="1000"/>
            </a:pPr>
            <a:r>
              <a:rPr lang="en-US" altLang="ja-JP" sz="1100" b="0" i="0" u="none" strike="noStrike" baseline="0">
                <a:solidFill>
                  <a:srgbClr val="000000"/>
                </a:solidFill>
                <a:latin typeface="ＭＳ Ｐ明朝"/>
                <a:ea typeface="ＭＳ Ｐ明朝"/>
              </a:rPr>
              <a:t>S003</a:t>
            </a:r>
          </a:p>
        </xdr:txBody>
      </xdr:sp>
    </xdr:grpSp>
    <xdr:clientData/>
  </xdr:twoCellAnchor>
  <xdr:twoCellAnchor>
    <xdr:from>
      <xdr:col>1</xdr:col>
      <xdr:colOff>231322</xdr:colOff>
      <xdr:row>1</xdr:row>
      <xdr:rowOff>163287</xdr:rowOff>
    </xdr:from>
    <xdr:to>
      <xdr:col>3</xdr:col>
      <xdr:colOff>721180</xdr:colOff>
      <xdr:row>2</xdr:row>
      <xdr:rowOff>149680</xdr:rowOff>
    </xdr:to>
    <xdr:sp macro="" textlink="">
      <xdr:nvSpPr>
        <xdr:cNvPr id="7" name="テキスト ボックス 1"/>
        <xdr:cNvSpPr txBox="1"/>
      </xdr:nvSpPr>
      <xdr:spPr>
        <a:xfrm>
          <a:off x="1292679" y="272144"/>
          <a:ext cx="2598965" cy="476250"/>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3200"/>
            <a:t>Sample</a:t>
          </a:r>
          <a:endParaRPr kumimoji="1" lang="ja-JP" altLang="en-US" sz="3200"/>
        </a:p>
      </xdr:txBody>
    </xdr:sp>
    <xdr:clientData/>
  </xdr:twoCellAnchor>
  <mc:AlternateContent xmlns:mc="http://schemas.openxmlformats.org/markup-compatibility/2006">
    <mc:Choice xmlns:a14="http://schemas.microsoft.com/office/drawing/2010/main" Requires="a14">
      <xdr:twoCellAnchor>
        <xdr:from>
          <xdr:col>5</xdr:col>
          <xdr:colOff>28575</xdr:colOff>
          <xdr:row>1</xdr:row>
          <xdr:rowOff>104775</xdr:rowOff>
        </xdr:from>
        <xdr:to>
          <xdr:col>5</xdr:col>
          <xdr:colOff>1400175</xdr:colOff>
          <xdr:row>2</xdr:row>
          <xdr:rowOff>123825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SEND EMAIL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E111"/>
  <sheetViews>
    <sheetView showGridLines="0" tabSelected="1" view="pageBreakPreview" topLeftCell="A58" zoomScale="70" zoomScaleNormal="75" zoomScaleSheetLayoutView="70" workbookViewId="0">
      <selection activeCell="E15" sqref="E15"/>
    </sheetView>
  </sheetViews>
  <sheetFormatPr defaultRowHeight="17.25"/>
  <cols>
    <col min="1" max="1" width="13.875" style="1" bestFit="1" customWidth="1"/>
    <col min="2" max="2" width="10" style="2" bestFit="1" customWidth="1"/>
    <col min="3" max="3" width="17.75" style="2" customWidth="1"/>
    <col min="4" max="4" width="15" style="2" customWidth="1"/>
    <col min="5" max="11" width="18.5" style="3" customWidth="1"/>
    <col min="12" max="12" width="26.75" style="3" customWidth="1"/>
    <col min="13" max="13" width="1.75" style="4" customWidth="1"/>
    <col min="14" max="14" width="4" style="4" customWidth="1"/>
    <col min="15" max="16" width="13.375" style="3" customWidth="1"/>
    <col min="17" max="17" width="10.625" style="3" bestFit="1" customWidth="1"/>
    <col min="18" max="19" width="13" style="3" bestFit="1" customWidth="1"/>
    <col min="20" max="20" width="14.375" style="3" bestFit="1" customWidth="1"/>
    <col min="21" max="21" width="14.5" style="3" bestFit="1" customWidth="1"/>
    <col min="22" max="22" width="14.5" style="3" customWidth="1"/>
    <col min="23" max="23" width="15.625" style="3" bestFit="1" customWidth="1"/>
    <col min="24" max="24" width="13.125" style="3" bestFit="1" customWidth="1"/>
    <col min="25" max="25" width="13.125" style="3" customWidth="1"/>
    <col min="26" max="26" width="15.625" style="3" bestFit="1" customWidth="1"/>
    <col min="27" max="27" width="11.75" style="5" bestFit="1" customWidth="1"/>
    <col min="28" max="28" width="13.25" style="3" bestFit="1" customWidth="1"/>
    <col min="29" max="29" width="11.625" style="3" bestFit="1" customWidth="1"/>
    <col min="30" max="30" width="9" style="6"/>
    <col min="31" max="16384" width="9" style="4"/>
  </cols>
  <sheetData>
    <row r="1" spans="1:31" ht="9" customHeight="1">
      <c r="A1" s="363" t="s">
        <v>301</v>
      </c>
      <c r="B1" s="364">
        <v>1</v>
      </c>
      <c r="C1" s="364" t="s">
        <v>502</v>
      </c>
      <c r="D1" s="364" t="s">
        <v>503</v>
      </c>
      <c r="L1" s="4"/>
      <c r="N1" s="3"/>
      <c r="P1" s="4"/>
      <c r="Z1" s="5"/>
      <c r="AA1" s="3"/>
      <c r="AC1" s="6"/>
      <c r="AD1" s="4"/>
    </row>
    <row r="2" spans="1:31" ht="39" customHeight="1">
      <c r="F2" s="362"/>
      <c r="G2" s="7"/>
      <c r="H2" s="7"/>
      <c r="I2" s="7"/>
      <c r="J2" s="8"/>
      <c r="K2" s="433">
        <v>42299</v>
      </c>
      <c r="L2" s="433"/>
      <c r="M2" s="3"/>
      <c r="N2" s="3"/>
      <c r="O2" s="4" t="s">
        <v>0</v>
      </c>
      <c r="Z2" s="5"/>
      <c r="AA2" s="3"/>
      <c r="AC2" s="6"/>
      <c r="AD2" s="4"/>
    </row>
    <row r="3" spans="1:31" ht="19.5" thickBot="1">
      <c r="F3" s="9"/>
      <c r="G3" s="10"/>
      <c r="H3" s="10"/>
      <c r="I3" s="11"/>
      <c r="J3" s="11"/>
      <c r="K3" s="12"/>
      <c r="L3" s="13"/>
      <c r="N3" s="3"/>
      <c r="O3" s="14" t="s">
        <v>1</v>
      </c>
      <c r="P3" s="14" t="s">
        <v>2</v>
      </c>
      <c r="Q3" s="14" t="s">
        <v>499</v>
      </c>
      <c r="R3" s="14" t="s">
        <v>3</v>
      </c>
      <c r="S3" s="14" t="s">
        <v>4</v>
      </c>
      <c r="T3" s="14" t="s">
        <v>5</v>
      </c>
      <c r="U3" s="14" t="s">
        <v>6</v>
      </c>
      <c r="V3" s="15" t="s">
        <v>7</v>
      </c>
      <c r="W3" s="15" t="s">
        <v>8</v>
      </c>
      <c r="X3" s="15" t="s">
        <v>9</v>
      </c>
      <c r="Y3" s="14" t="s">
        <v>10</v>
      </c>
      <c r="Z3" s="14" t="s">
        <v>11</v>
      </c>
      <c r="AA3" s="16"/>
      <c r="AB3" s="17"/>
      <c r="AC3" s="17"/>
      <c r="AD3" s="15" t="s">
        <v>12</v>
      </c>
      <c r="AE3" s="17"/>
    </row>
    <row r="4" spans="1:31" ht="39" customHeight="1" thickBot="1">
      <c r="F4" s="18" t="s">
        <v>13</v>
      </c>
      <c r="G4" s="19"/>
      <c r="H4" s="19"/>
      <c r="I4" s="20"/>
      <c r="J4" s="21"/>
      <c r="K4" s="383" t="s">
        <v>454</v>
      </c>
      <c r="L4" s="384"/>
      <c r="N4" s="3"/>
      <c r="O4" s="22" t="s">
        <v>14</v>
      </c>
      <c r="P4" s="23" t="s">
        <v>15</v>
      </c>
      <c r="Q4" s="24" t="s">
        <v>16</v>
      </c>
      <c r="R4" s="25" t="s">
        <v>17</v>
      </c>
      <c r="S4" s="25" t="s">
        <v>18</v>
      </c>
      <c r="T4" s="26" t="s">
        <v>19</v>
      </c>
      <c r="U4" s="27" t="s">
        <v>20</v>
      </c>
      <c r="V4" s="28"/>
      <c r="W4" s="29" t="s">
        <v>21</v>
      </c>
      <c r="X4" s="30" t="s">
        <v>22</v>
      </c>
      <c r="Y4" s="26" t="s">
        <v>23</v>
      </c>
      <c r="Z4" s="25" t="s">
        <v>24</v>
      </c>
      <c r="AA4" s="31"/>
      <c r="AB4" s="31"/>
      <c r="AC4" s="31"/>
      <c r="AD4" s="30" t="s">
        <v>25</v>
      </c>
      <c r="AE4" s="31"/>
    </row>
    <row r="5" spans="1:31" ht="39" customHeight="1">
      <c r="F5" s="32" t="s">
        <v>26</v>
      </c>
      <c r="G5" s="33"/>
      <c r="H5" s="34"/>
      <c r="I5" s="34"/>
      <c r="J5" s="35"/>
      <c r="L5" s="4"/>
      <c r="N5" s="3"/>
      <c r="O5" s="36" t="s">
        <v>27</v>
      </c>
      <c r="P5" s="37"/>
      <c r="Q5" s="38" t="s">
        <v>28</v>
      </c>
      <c r="R5" s="39" t="s">
        <v>29</v>
      </c>
      <c r="S5" s="39" t="s">
        <v>30</v>
      </c>
      <c r="T5" s="40" t="s">
        <v>31</v>
      </c>
      <c r="U5" s="41" t="s">
        <v>32</v>
      </c>
      <c r="V5" s="42"/>
      <c r="W5" s="43" t="s">
        <v>33</v>
      </c>
      <c r="X5" s="36" t="s">
        <v>34</v>
      </c>
      <c r="Y5" s="40" t="s">
        <v>35</v>
      </c>
      <c r="Z5" s="39" t="s">
        <v>36</v>
      </c>
      <c r="AA5" s="6"/>
      <c r="AB5" s="31"/>
      <c r="AC5" s="31"/>
      <c r="AD5" s="31"/>
      <c r="AE5" s="31"/>
    </row>
    <row r="6" spans="1:31" ht="39" customHeight="1">
      <c r="F6" s="44" t="s">
        <v>37</v>
      </c>
      <c r="G6" s="45"/>
      <c r="H6" s="46"/>
      <c r="I6" s="46"/>
      <c r="J6" s="47"/>
      <c r="L6" s="4"/>
      <c r="N6" s="3"/>
      <c r="O6" s="22" t="s">
        <v>38</v>
      </c>
      <c r="P6" s="48"/>
      <c r="Q6" s="49"/>
      <c r="R6" s="39" t="s">
        <v>39</v>
      </c>
      <c r="S6" s="39" t="s">
        <v>40</v>
      </c>
      <c r="T6" s="5"/>
      <c r="U6" s="50"/>
      <c r="V6" s="42"/>
      <c r="W6" s="43" t="s">
        <v>41</v>
      </c>
      <c r="X6" s="36" t="s">
        <v>42</v>
      </c>
      <c r="Y6" s="40" t="s">
        <v>43</v>
      </c>
      <c r="Z6" s="39" t="s">
        <v>44</v>
      </c>
      <c r="AA6" s="51"/>
      <c r="AB6" s="52"/>
      <c r="AC6" s="52"/>
      <c r="AD6" s="52"/>
      <c r="AE6" s="52"/>
    </row>
    <row r="7" spans="1:31" ht="39" customHeight="1" thickBot="1">
      <c r="B7" s="434" t="s">
        <v>45</v>
      </c>
      <c r="C7" s="434"/>
      <c r="D7" s="434"/>
      <c r="F7" s="53" t="s">
        <v>46</v>
      </c>
      <c r="G7" s="54"/>
      <c r="H7" s="55"/>
      <c r="I7" s="55"/>
      <c r="J7" s="56"/>
      <c r="L7" s="57" t="s">
        <v>47</v>
      </c>
      <c r="O7" s="22" t="s">
        <v>48</v>
      </c>
      <c r="P7" s="48"/>
      <c r="Q7" s="49"/>
      <c r="R7" s="39" t="s">
        <v>49</v>
      </c>
      <c r="S7" s="39" t="s">
        <v>50</v>
      </c>
      <c r="T7" s="5"/>
      <c r="U7" s="41"/>
      <c r="V7" s="42"/>
      <c r="W7" s="43" t="s">
        <v>51</v>
      </c>
      <c r="X7" s="58" t="s">
        <v>52</v>
      </c>
      <c r="Y7" s="40" t="s">
        <v>53</v>
      </c>
      <c r="Z7" s="39" t="s">
        <v>54</v>
      </c>
      <c r="AA7" s="6"/>
      <c r="AB7" s="31"/>
      <c r="AC7" s="31"/>
      <c r="AD7" s="31"/>
      <c r="AE7" s="31"/>
    </row>
    <row r="8" spans="1:31" ht="11.25" customHeight="1" thickBot="1">
      <c r="L8" s="4"/>
      <c r="N8" s="3"/>
      <c r="O8" s="36" t="s">
        <v>55</v>
      </c>
      <c r="P8" s="48"/>
      <c r="Q8" s="49"/>
      <c r="R8" s="59" t="s">
        <v>56</v>
      </c>
      <c r="S8" s="39" t="s">
        <v>57</v>
      </c>
      <c r="T8" s="37"/>
      <c r="U8" s="41"/>
      <c r="V8" s="60"/>
      <c r="W8" s="43" t="s">
        <v>58</v>
      </c>
      <c r="X8" s="36" t="s">
        <v>59</v>
      </c>
      <c r="Y8" s="40" t="s">
        <v>60</v>
      </c>
      <c r="Z8" s="39" t="s">
        <v>61</v>
      </c>
      <c r="AA8" s="6"/>
      <c r="AB8" s="31"/>
      <c r="AC8" s="31"/>
      <c r="AD8" s="31"/>
      <c r="AE8" s="31"/>
    </row>
    <row r="9" spans="1:31" ht="18" thickTop="1">
      <c r="A9" s="435" t="s">
        <v>62</v>
      </c>
      <c r="B9" s="436"/>
      <c r="C9" s="436"/>
      <c r="D9" s="437"/>
      <c r="E9" s="438" t="s">
        <v>500</v>
      </c>
      <c r="F9" s="439"/>
      <c r="G9" s="440" t="s">
        <v>63</v>
      </c>
      <c r="H9" s="441"/>
      <c r="I9" s="440"/>
      <c r="J9" s="442"/>
      <c r="K9" s="440"/>
      <c r="L9" s="443"/>
      <c r="O9" s="22" t="s">
        <v>64</v>
      </c>
      <c r="P9" s="37"/>
      <c r="Q9" s="49"/>
      <c r="R9" s="59" t="s">
        <v>65</v>
      </c>
      <c r="S9" s="39" t="s">
        <v>66</v>
      </c>
      <c r="T9" s="37"/>
      <c r="U9" s="61"/>
      <c r="V9" s="60"/>
      <c r="W9" s="62" t="s">
        <v>67</v>
      </c>
      <c r="X9" s="36" t="s">
        <v>68</v>
      </c>
      <c r="Y9" s="63" t="s">
        <v>69</v>
      </c>
      <c r="Z9" s="59" t="s">
        <v>70</v>
      </c>
      <c r="AA9" s="6"/>
      <c r="AB9" s="6"/>
      <c r="AC9" s="6"/>
      <c r="AE9" s="6"/>
    </row>
    <row r="10" spans="1:31" s="31" customFormat="1" ht="18.75" customHeight="1">
      <c r="A10" s="444" t="s">
        <v>456</v>
      </c>
      <c r="B10" s="445"/>
      <c r="C10" s="445"/>
      <c r="D10" s="446"/>
      <c r="E10" s="447" t="s">
        <v>501</v>
      </c>
      <c r="F10" s="448"/>
      <c r="G10" s="449" t="s">
        <v>71</v>
      </c>
      <c r="H10" s="450"/>
      <c r="I10" s="449"/>
      <c r="J10" s="451"/>
      <c r="K10" s="452"/>
      <c r="L10" s="453"/>
      <c r="N10" s="4"/>
      <c r="O10" s="22" t="s">
        <v>72</v>
      </c>
      <c r="P10" s="48"/>
      <c r="Q10" s="49"/>
      <c r="R10" s="36" t="s">
        <v>73</v>
      </c>
      <c r="S10" s="39"/>
      <c r="T10" s="37"/>
      <c r="U10" s="61"/>
      <c r="V10" s="64"/>
      <c r="W10" s="43" t="s">
        <v>74</v>
      </c>
      <c r="X10" s="36" t="s">
        <v>75</v>
      </c>
      <c r="Y10" s="63" t="s">
        <v>76</v>
      </c>
      <c r="Z10" s="59" t="s">
        <v>77</v>
      </c>
      <c r="AA10" s="6"/>
      <c r="AB10" s="6"/>
      <c r="AC10" s="6"/>
      <c r="AD10" s="6"/>
      <c r="AE10" s="6"/>
    </row>
    <row r="11" spans="1:31" s="31" customFormat="1" ht="18.75" customHeight="1">
      <c r="A11" s="388" t="s">
        <v>496</v>
      </c>
      <c r="B11" s="376"/>
      <c r="C11" s="376"/>
      <c r="D11" s="377"/>
      <c r="E11" s="378" t="s">
        <v>501</v>
      </c>
      <c r="F11" s="379"/>
      <c r="G11" s="378"/>
      <c r="H11" s="379"/>
      <c r="I11" s="378"/>
      <c r="J11" s="380"/>
      <c r="K11" s="381"/>
      <c r="L11" s="382"/>
      <c r="N11" s="4"/>
      <c r="O11" s="22"/>
      <c r="P11" s="48"/>
      <c r="Q11" s="49"/>
      <c r="R11" s="36"/>
      <c r="S11" s="39"/>
      <c r="T11" s="37"/>
      <c r="U11" s="61"/>
      <c r="V11" s="385"/>
      <c r="W11" s="43"/>
      <c r="X11" s="36"/>
      <c r="Y11" s="386"/>
      <c r="Z11" s="59"/>
      <c r="AA11" s="6"/>
      <c r="AB11" s="6"/>
      <c r="AC11" s="6"/>
      <c r="AD11" s="6"/>
      <c r="AE11" s="6"/>
    </row>
    <row r="12" spans="1:31" s="31" customFormat="1" ht="37.5" customHeight="1">
      <c r="A12" s="454" t="s">
        <v>78</v>
      </c>
      <c r="B12" s="455"/>
      <c r="C12" s="455"/>
      <c r="D12" s="456"/>
      <c r="E12" s="457"/>
      <c r="F12" s="458"/>
      <c r="G12" s="457" t="s">
        <v>79</v>
      </c>
      <c r="H12" s="458"/>
      <c r="I12" s="457"/>
      <c r="J12" s="459"/>
      <c r="K12" s="457"/>
      <c r="L12" s="460"/>
      <c r="O12" s="22" t="s">
        <v>80</v>
      </c>
      <c r="P12" s="48"/>
      <c r="Q12" s="49"/>
      <c r="R12" s="36" t="s">
        <v>81</v>
      </c>
      <c r="S12" s="65"/>
      <c r="T12" s="49"/>
      <c r="U12" s="61"/>
      <c r="V12" s="66"/>
      <c r="W12" s="43" t="s">
        <v>82</v>
      </c>
      <c r="X12" s="36" t="s">
        <v>83</v>
      </c>
      <c r="Y12" s="48"/>
      <c r="Z12" s="59" t="s">
        <v>84</v>
      </c>
      <c r="AA12" s="6"/>
      <c r="AB12" s="6"/>
      <c r="AC12" s="6"/>
      <c r="AD12" s="6"/>
      <c r="AE12" s="6"/>
    </row>
    <row r="13" spans="1:31" s="52" customFormat="1" ht="19.5" customHeight="1">
      <c r="A13" s="474" t="s">
        <v>85</v>
      </c>
      <c r="B13" s="475"/>
      <c r="C13" s="475"/>
      <c r="D13" s="456"/>
      <c r="E13" s="67" t="s">
        <v>86</v>
      </c>
      <c r="F13" s="68"/>
      <c r="G13" s="67" t="s">
        <v>86</v>
      </c>
      <c r="H13" s="68"/>
      <c r="I13" s="67"/>
      <c r="J13" s="69"/>
      <c r="K13" s="67"/>
      <c r="L13" s="70"/>
      <c r="N13" s="71"/>
      <c r="O13" s="22" t="s">
        <v>87</v>
      </c>
      <c r="P13" s="48"/>
      <c r="Q13" s="49"/>
      <c r="R13" s="59" t="s">
        <v>88</v>
      </c>
      <c r="S13" s="65"/>
      <c r="T13" s="49"/>
      <c r="U13" s="61"/>
      <c r="V13" s="72"/>
      <c r="W13" s="43" t="s">
        <v>89</v>
      </c>
      <c r="X13" s="36" t="s">
        <v>90</v>
      </c>
      <c r="Y13" s="72"/>
      <c r="Z13" s="59" t="s">
        <v>91</v>
      </c>
      <c r="AA13" s="6"/>
      <c r="AB13" s="6"/>
      <c r="AC13" s="6"/>
      <c r="AD13" s="6"/>
      <c r="AE13" s="6"/>
    </row>
    <row r="14" spans="1:31" s="31" customFormat="1" ht="18.75" customHeight="1">
      <c r="A14" s="474" t="s">
        <v>92</v>
      </c>
      <c r="B14" s="475"/>
      <c r="C14" s="475"/>
      <c r="D14" s="73" t="s">
        <v>93</v>
      </c>
      <c r="E14" s="74"/>
      <c r="F14" s="75"/>
      <c r="G14" s="74">
        <v>16000</v>
      </c>
      <c r="H14" s="75"/>
      <c r="I14" s="74"/>
      <c r="J14" s="76"/>
      <c r="K14" s="74"/>
      <c r="L14" s="77"/>
      <c r="N14" s="78"/>
      <c r="O14" s="22" t="s">
        <v>94</v>
      </c>
      <c r="P14" s="48"/>
      <c r="Q14" s="49"/>
      <c r="R14" s="59" t="s">
        <v>95</v>
      </c>
      <c r="S14" s="65"/>
      <c r="T14" s="49"/>
      <c r="U14" s="61"/>
      <c r="V14" s="72"/>
      <c r="W14" s="43" t="s">
        <v>96</v>
      </c>
      <c r="X14" s="36" t="s">
        <v>97</v>
      </c>
      <c r="Y14" s="72"/>
      <c r="Z14" s="59" t="s">
        <v>98</v>
      </c>
      <c r="AA14" s="6"/>
      <c r="AB14" s="6"/>
      <c r="AC14" s="6"/>
      <c r="AD14" s="6"/>
      <c r="AE14" s="6"/>
    </row>
    <row r="15" spans="1:31" s="31" customFormat="1" ht="18.75" customHeight="1">
      <c r="A15" s="474" t="s">
        <v>99</v>
      </c>
      <c r="B15" s="475"/>
      <c r="C15" s="475"/>
      <c r="D15" s="456"/>
      <c r="E15" s="79" t="s">
        <v>100</v>
      </c>
      <c r="F15" s="80"/>
      <c r="G15" s="79" t="s">
        <v>100</v>
      </c>
      <c r="H15" s="80">
        <v>80</v>
      </c>
      <c r="I15" s="79"/>
      <c r="J15" s="81"/>
      <c r="K15" s="79"/>
      <c r="L15" s="82"/>
      <c r="N15" s="78"/>
      <c r="O15" s="22" t="s">
        <v>101</v>
      </c>
      <c r="P15" s="48"/>
      <c r="Q15" s="49"/>
      <c r="R15" s="59" t="s">
        <v>102</v>
      </c>
      <c r="S15" s="49"/>
      <c r="T15" s="49"/>
      <c r="U15" s="61"/>
      <c r="V15" s="72"/>
      <c r="W15" s="43" t="s">
        <v>103</v>
      </c>
      <c r="X15" s="36" t="s">
        <v>104</v>
      </c>
      <c r="Y15" s="72"/>
      <c r="Z15" s="59" t="s">
        <v>105</v>
      </c>
      <c r="AA15" s="6"/>
      <c r="AB15" s="6"/>
      <c r="AC15" s="6"/>
      <c r="AD15" s="6"/>
      <c r="AE15" s="6"/>
    </row>
    <row r="16" spans="1:31" s="6" customFormat="1" ht="18.75" customHeight="1">
      <c r="A16" s="83" t="s">
        <v>106</v>
      </c>
      <c r="B16" s="84" t="s">
        <v>107</v>
      </c>
      <c r="C16" s="85" t="s">
        <v>106</v>
      </c>
      <c r="D16" s="86"/>
      <c r="E16" s="87"/>
      <c r="F16" s="88"/>
      <c r="G16" s="87"/>
      <c r="H16" s="88"/>
      <c r="I16" s="87"/>
      <c r="J16" s="89"/>
      <c r="K16" s="87"/>
      <c r="L16" s="90"/>
      <c r="N16" s="91"/>
      <c r="O16" s="36" t="s">
        <v>108</v>
      </c>
      <c r="P16" s="48"/>
      <c r="Q16" s="49"/>
      <c r="R16" s="59" t="s">
        <v>109</v>
      </c>
      <c r="S16" s="49"/>
      <c r="T16" s="49"/>
      <c r="U16" s="61"/>
      <c r="V16" s="72"/>
      <c r="W16" s="43" t="s">
        <v>110</v>
      </c>
      <c r="X16" s="36" t="s">
        <v>111</v>
      </c>
      <c r="Y16" s="72"/>
      <c r="Z16" s="59" t="s">
        <v>112</v>
      </c>
      <c r="AB16" s="31"/>
    </row>
    <row r="17" spans="1:31" s="6" customFormat="1" ht="18.75" customHeight="1">
      <c r="A17" s="83" t="s">
        <v>113</v>
      </c>
      <c r="B17" s="84" t="s">
        <v>106</v>
      </c>
      <c r="C17" s="85" t="s">
        <v>114</v>
      </c>
      <c r="D17" s="92" t="s">
        <v>115</v>
      </c>
      <c r="E17" s="390"/>
      <c r="F17" s="391"/>
      <c r="G17" s="93" t="s">
        <v>116</v>
      </c>
      <c r="H17" s="94" t="s">
        <v>117</v>
      </c>
      <c r="I17" s="93"/>
      <c r="J17" s="95"/>
      <c r="K17" s="93"/>
      <c r="L17" s="96"/>
      <c r="N17" s="91"/>
      <c r="O17" s="36" t="s">
        <v>118</v>
      </c>
      <c r="P17" s="48"/>
      <c r="Q17" s="72"/>
      <c r="R17" s="59" t="s">
        <v>119</v>
      </c>
      <c r="S17" s="49"/>
      <c r="T17" s="49"/>
      <c r="U17" s="49"/>
      <c r="V17" s="97"/>
      <c r="W17" s="43" t="s">
        <v>120</v>
      </c>
      <c r="X17" s="36" t="s">
        <v>121</v>
      </c>
      <c r="Y17" s="72"/>
      <c r="Z17" s="59" t="s">
        <v>122</v>
      </c>
      <c r="AB17" s="31"/>
    </row>
    <row r="18" spans="1:31" s="6" customFormat="1" ht="18.75" customHeight="1">
      <c r="A18" s="98"/>
      <c r="B18" s="84"/>
      <c r="C18" s="99"/>
      <c r="D18" s="100" t="s">
        <v>123</v>
      </c>
      <c r="E18" s="392"/>
      <c r="F18" s="393"/>
      <c r="G18" s="101" t="s">
        <v>124</v>
      </c>
      <c r="H18" s="102"/>
      <c r="I18" s="103"/>
      <c r="J18" s="104"/>
      <c r="K18" s="103"/>
      <c r="L18" s="105"/>
      <c r="N18" s="91"/>
      <c r="O18" s="36" t="s">
        <v>125</v>
      </c>
      <c r="P18" s="48"/>
      <c r="Q18" s="72"/>
      <c r="R18" s="59" t="s">
        <v>126</v>
      </c>
      <c r="S18" s="72"/>
      <c r="T18" s="72"/>
      <c r="U18" s="49"/>
      <c r="V18" s="72"/>
      <c r="W18" s="43" t="s">
        <v>127</v>
      </c>
      <c r="X18" s="36" t="s">
        <v>128</v>
      </c>
      <c r="Y18" s="72"/>
      <c r="Z18" s="59" t="s">
        <v>129</v>
      </c>
      <c r="AB18" s="31"/>
      <c r="AC18" s="31"/>
      <c r="AD18" s="31"/>
      <c r="AE18" s="31"/>
    </row>
    <row r="19" spans="1:31" s="6" customFormat="1" ht="18.75" customHeight="1">
      <c r="A19" s="98"/>
      <c r="B19" s="84"/>
      <c r="C19" s="99"/>
      <c r="D19" s="106" t="s">
        <v>130</v>
      </c>
      <c r="E19" s="394"/>
      <c r="F19" s="395"/>
      <c r="G19" s="107"/>
      <c r="H19" s="108"/>
      <c r="I19" s="109"/>
      <c r="J19" s="110"/>
      <c r="K19" s="109"/>
      <c r="L19" s="111"/>
      <c r="N19" s="91"/>
      <c r="O19" s="22" t="s">
        <v>131</v>
      </c>
      <c r="P19" s="37"/>
      <c r="Q19" s="72"/>
      <c r="R19" s="36"/>
      <c r="S19" s="72"/>
      <c r="T19" s="72"/>
      <c r="U19" s="72"/>
      <c r="V19" s="72"/>
      <c r="W19" s="43" t="s">
        <v>132</v>
      </c>
      <c r="X19" s="36" t="s">
        <v>133</v>
      </c>
      <c r="Y19" s="72"/>
      <c r="Z19" s="59" t="s">
        <v>134</v>
      </c>
      <c r="AB19" s="31"/>
      <c r="AC19" s="31"/>
      <c r="AD19" s="31"/>
      <c r="AE19" s="31"/>
    </row>
    <row r="20" spans="1:31" s="6" customFormat="1" ht="18.75" customHeight="1">
      <c r="A20" s="98"/>
      <c r="B20" s="84"/>
      <c r="C20" s="99"/>
      <c r="D20" s="106" t="s">
        <v>135</v>
      </c>
      <c r="E20" s="394"/>
      <c r="F20" s="393"/>
      <c r="G20" s="107">
        <v>20</v>
      </c>
      <c r="H20" s="102">
        <v>1</v>
      </c>
      <c r="I20" s="107"/>
      <c r="J20" s="112"/>
      <c r="K20" s="107"/>
      <c r="L20" s="113"/>
      <c r="N20" s="91"/>
      <c r="O20" s="22" t="s">
        <v>136</v>
      </c>
      <c r="P20" s="37"/>
      <c r="Q20" s="72"/>
      <c r="R20" s="36"/>
      <c r="S20" s="72"/>
      <c r="T20" s="72"/>
      <c r="U20" s="72"/>
      <c r="V20" s="72"/>
      <c r="W20" s="43" t="s">
        <v>137</v>
      </c>
      <c r="X20" s="36" t="s">
        <v>138</v>
      </c>
      <c r="Y20" s="72"/>
      <c r="Z20" s="59" t="s">
        <v>139</v>
      </c>
      <c r="AB20" s="31"/>
      <c r="AC20" s="31"/>
      <c r="AD20" s="31"/>
      <c r="AE20" s="31"/>
    </row>
    <row r="21" spans="1:31" s="6" customFormat="1" ht="18.75" customHeight="1">
      <c r="A21" s="98"/>
      <c r="B21" s="84"/>
      <c r="C21" s="99"/>
      <c r="D21" s="106" t="s">
        <v>140</v>
      </c>
      <c r="E21" s="396"/>
      <c r="F21" s="397"/>
      <c r="G21" s="114" t="s">
        <v>141</v>
      </c>
      <c r="H21" s="115" t="s">
        <v>29</v>
      </c>
      <c r="I21" s="114"/>
      <c r="J21" s="116"/>
      <c r="K21" s="114"/>
      <c r="L21" s="117"/>
      <c r="N21" s="91"/>
      <c r="O21" s="22" t="s">
        <v>142</v>
      </c>
      <c r="P21" s="37"/>
      <c r="Q21" s="72"/>
      <c r="R21" s="36"/>
      <c r="S21" s="72"/>
      <c r="T21" s="72"/>
      <c r="U21" s="72"/>
      <c r="V21" s="48"/>
      <c r="W21" s="43" t="s">
        <v>143</v>
      </c>
      <c r="X21" s="36" t="s">
        <v>144</v>
      </c>
      <c r="Y21" s="72"/>
      <c r="Z21" s="59" t="s">
        <v>145</v>
      </c>
      <c r="AB21" s="31"/>
      <c r="AC21" s="31"/>
      <c r="AD21" s="31"/>
      <c r="AE21" s="31"/>
    </row>
    <row r="22" spans="1:31" s="6" customFormat="1" ht="18.75" customHeight="1">
      <c r="A22" s="98"/>
      <c r="B22" s="84"/>
      <c r="C22" s="118"/>
      <c r="D22" s="119" t="s">
        <v>146</v>
      </c>
      <c r="E22" s="476"/>
      <c r="F22" s="477"/>
      <c r="G22" s="461"/>
      <c r="H22" s="478"/>
      <c r="I22" s="461"/>
      <c r="J22" s="479"/>
      <c r="K22" s="461"/>
      <c r="L22" s="462"/>
      <c r="N22" s="91"/>
      <c r="O22" s="36" t="s">
        <v>147</v>
      </c>
      <c r="P22" s="37"/>
      <c r="Q22" s="72"/>
      <c r="R22" s="36"/>
      <c r="S22" s="72"/>
      <c r="T22" s="72"/>
      <c r="U22" s="72"/>
      <c r="V22" s="49"/>
      <c r="W22" s="43" t="s">
        <v>148</v>
      </c>
      <c r="X22" s="36" t="s">
        <v>149</v>
      </c>
      <c r="Y22" s="72"/>
      <c r="Z22" s="36" t="s">
        <v>150</v>
      </c>
      <c r="AB22" s="31"/>
      <c r="AC22" s="31"/>
      <c r="AD22" s="31"/>
      <c r="AE22" s="31"/>
    </row>
    <row r="23" spans="1:31" s="6" customFormat="1" ht="18.75" customHeight="1">
      <c r="A23" s="120"/>
      <c r="B23" s="121"/>
      <c r="C23" s="122" t="s">
        <v>151</v>
      </c>
      <c r="D23" s="123" t="s">
        <v>152</v>
      </c>
      <c r="E23" s="398">
        <v>0</v>
      </c>
      <c r="F23" s="399"/>
      <c r="G23" s="124">
        <v>1.5</v>
      </c>
      <c r="H23" s="125">
        <v>2</v>
      </c>
      <c r="I23" s="124"/>
      <c r="J23" s="126"/>
      <c r="K23" s="124"/>
      <c r="L23" s="127"/>
      <c r="N23" s="91"/>
      <c r="O23" s="22" t="s">
        <v>153</v>
      </c>
      <c r="P23" s="37"/>
      <c r="Q23" s="128"/>
      <c r="R23" s="36"/>
      <c r="S23" s="72"/>
      <c r="T23" s="72"/>
      <c r="U23" s="72"/>
      <c r="V23" s="49"/>
      <c r="W23" s="43" t="s">
        <v>154</v>
      </c>
      <c r="X23" s="36"/>
      <c r="Z23" s="36" t="s">
        <v>155</v>
      </c>
      <c r="AB23" s="31"/>
      <c r="AC23" s="31"/>
      <c r="AD23" s="31"/>
      <c r="AE23" s="31"/>
    </row>
    <row r="24" spans="1:31" s="31" customFormat="1" ht="18.75" customHeight="1">
      <c r="A24" s="120"/>
      <c r="B24" s="121"/>
      <c r="C24" s="129" t="s">
        <v>156</v>
      </c>
      <c r="D24" s="130" t="s">
        <v>152</v>
      </c>
      <c r="E24" s="400"/>
      <c r="F24" s="401"/>
      <c r="G24" s="131"/>
      <c r="H24" s="132"/>
      <c r="I24" s="131"/>
      <c r="J24" s="133"/>
      <c r="K24" s="131"/>
      <c r="L24" s="134"/>
      <c r="N24" s="78"/>
      <c r="O24" s="22" t="s">
        <v>157</v>
      </c>
      <c r="P24" s="37"/>
      <c r="Q24" s="72"/>
      <c r="R24" s="128"/>
      <c r="S24" s="128"/>
      <c r="T24" s="128"/>
      <c r="U24" s="72"/>
      <c r="V24" s="49"/>
      <c r="W24" s="43" t="s">
        <v>158</v>
      </c>
      <c r="X24" s="135"/>
      <c r="Y24" s="136"/>
      <c r="Z24" s="135" t="s">
        <v>159</v>
      </c>
      <c r="AA24" s="136"/>
      <c r="AB24" s="137"/>
    </row>
    <row r="25" spans="1:31" s="31" customFormat="1" ht="18.75" customHeight="1">
      <c r="A25" s="120"/>
      <c r="B25" s="138"/>
      <c r="C25" s="122" t="s">
        <v>160</v>
      </c>
      <c r="D25" s="123" t="s">
        <v>161</v>
      </c>
      <c r="E25" s="139">
        <v>0</v>
      </c>
      <c r="F25" s="140"/>
      <c r="G25" s="139">
        <v>25</v>
      </c>
      <c r="H25" s="140"/>
      <c r="I25" s="139"/>
      <c r="J25" s="141"/>
      <c r="K25" s="139"/>
      <c r="L25" s="142"/>
      <c r="N25" s="78"/>
      <c r="O25" s="22" t="s">
        <v>162</v>
      </c>
      <c r="P25" s="37"/>
      <c r="Q25" s="143"/>
      <c r="R25" s="72"/>
      <c r="S25" s="72"/>
      <c r="T25" s="72"/>
      <c r="U25" s="136"/>
      <c r="V25" s="5"/>
      <c r="W25" s="43" t="s">
        <v>163</v>
      </c>
      <c r="X25" s="36"/>
      <c r="Y25" s="72"/>
      <c r="Z25" s="36"/>
      <c r="AA25" s="6"/>
    </row>
    <row r="26" spans="1:31" s="31" customFormat="1" ht="18.75" customHeight="1">
      <c r="A26" s="120"/>
      <c r="B26" s="138"/>
      <c r="C26" s="129" t="s">
        <v>164</v>
      </c>
      <c r="D26" s="130" t="s">
        <v>165</v>
      </c>
      <c r="E26" s="144"/>
      <c r="F26" s="145"/>
      <c r="G26" s="144">
        <v>25.1</v>
      </c>
      <c r="H26" s="145"/>
      <c r="I26" s="144"/>
      <c r="J26" s="146"/>
      <c r="K26" s="144"/>
      <c r="L26" s="147"/>
      <c r="N26" s="78"/>
      <c r="O26" s="22" t="s">
        <v>166</v>
      </c>
      <c r="P26" s="37"/>
      <c r="Q26" s="143"/>
      <c r="R26" s="148"/>
      <c r="S26" s="149"/>
      <c r="T26" s="149"/>
      <c r="U26" s="150"/>
      <c r="V26" s="5"/>
      <c r="W26" s="62" t="s">
        <v>167</v>
      </c>
      <c r="X26" s="36"/>
      <c r="Y26" s="72"/>
      <c r="Z26" s="36"/>
      <c r="AA26" s="6"/>
      <c r="AC26" s="137"/>
      <c r="AD26" s="137"/>
      <c r="AE26" s="137"/>
    </row>
    <row r="27" spans="1:31" s="31" customFormat="1" ht="18.75" customHeight="1">
      <c r="A27" s="151"/>
      <c r="B27" s="152"/>
      <c r="C27" s="153" t="s">
        <v>168</v>
      </c>
      <c r="D27" s="154" t="s">
        <v>169</v>
      </c>
      <c r="E27" s="402">
        <v>0</v>
      </c>
      <c r="F27" s="156"/>
      <c r="G27" s="155">
        <f>IF(ISERROR(IF(G24="",(G23*G20+H23*H20)/(G20+H20)*G26,(G23*G26-(G26-G25)*G24))),0,IF(G24="",(G23*G20+H23*H20)/(G20+H20)*G26,(G23*G26-(G26-G25)*G24)))</f>
        <v>38.247619047619047</v>
      </c>
      <c r="H27" s="156"/>
      <c r="I27" s="155">
        <f>IF(ISERROR(IF(I24="",(I23*I20+J23*J20)/(I20+J20)*I26,(I23*I26-(I26-I25)*I24))),0,IF(I24="",(I23*I20+J23*J20)/(I20+J20)*I26,(I23*I26-(I26-I25)*I24)))</f>
        <v>0</v>
      </c>
      <c r="J27" s="157"/>
      <c r="K27" s="155">
        <f>IF(ISERROR(IF(K24="",(K23*K20+L23*L20)/(K20+L20)*K26,(K23*K26-(K26-K25)*K24))),0,IF(K24="",(K23*K20+L23*L20)/(K20+L20)*K26,(K23*K26-(K26-K25)*K24)))</f>
        <v>0</v>
      </c>
      <c r="L27" s="158"/>
      <c r="N27" s="78"/>
      <c r="O27" s="22" t="s">
        <v>170</v>
      </c>
      <c r="P27" s="37"/>
      <c r="Q27" s="72"/>
      <c r="R27" s="148"/>
      <c r="S27" s="149"/>
      <c r="T27" s="149"/>
      <c r="U27" s="150"/>
      <c r="V27" s="72"/>
      <c r="W27" s="62" t="s">
        <v>171</v>
      </c>
      <c r="X27" s="36"/>
      <c r="Y27" s="72"/>
      <c r="Z27" s="6"/>
      <c r="AA27" s="6"/>
    </row>
    <row r="28" spans="1:31" s="31" customFormat="1" ht="19.5" customHeight="1">
      <c r="A28" s="151"/>
      <c r="B28" s="159" t="s">
        <v>172</v>
      </c>
      <c r="C28" s="160"/>
      <c r="D28" s="154" t="str">
        <f>IF($D$27="","",$D$27)</f>
        <v>USD/pcs</v>
      </c>
      <c r="E28" s="403"/>
      <c r="F28" s="162"/>
      <c r="G28" s="161"/>
      <c r="H28" s="162"/>
      <c r="I28" s="161"/>
      <c r="J28" s="163"/>
      <c r="K28" s="161"/>
      <c r="L28" s="164"/>
      <c r="N28" s="78"/>
      <c r="O28" s="22" t="s">
        <v>173</v>
      </c>
      <c r="P28" s="48"/>
      <c r="Q28" s="143"/>
      <c r="R28" s="72"/>
      <c r="S28" s="72"/>
      <c r="T28" s="72"/>
      <c r="U28" s="150"/>
      <c r="V28" s="72"/>
      <c r="W28" s="62" t="s">
        <v>174</v>
      </c>
      <c r="X28" s="61"/>
      <c r="Y28" s="72"/>
      <c r="Z28" s="6"/>
      <c r="AA28" s="6"/>
    </row>
    <row r="29" spans="1:31" s="31" customFormat="1" ht="18.75" customHeight="1">
      <c r="A29" s="151"/>
      <c r="B29" s="165"/>
      <c r="C29" s="160"/>
      <c r="D29" s="154" t="str">
        <f>IF($D$27="","",$D$27)</f>
        <v>USD/pcs</v>
      </c>
      <c r="E29" s="403"/>
      <c r="F29" s="162"/>
      <c r="G29" s="161"/>
      <c r="H29" s="162"/>
      <c r="I29" s="161"/>
      <c r="J29" s="163"/>
      <c r="K29" s="161"/>
      <c r="L29" s="164"/>
      <c r="N29" s="78"/>
      <c r="O29" s="22" t="s">
        <v>175</v>
      </c>
      <c r="P29" s="37"/>
      <c r="Q29" s="143"/>
      <c r="R29" s="148"/>
      <c r="S29" s="149"/>
      <c r="T29" s="149"/>
      <c r="U29" s="150"/>
      <c r="V29" s="72"/>
      <c r="W29" s="166"/>
      <c r="X29" s="72"/>
      <c r="Y29" s="72"/>
      <c r="Z29" s="6"/>
      <c r="AA29" s="6"/>
    </row>
    <row r="30" spans="1:31" s="31" customFormat="1" ht="18.75" customHeight="1">
      <c r="A30" s="167"/>
      <c r="B30" s="463" t="s">
        <v>176</v>
      </c>
      <c r="C30" s="463"/>
      <c r="D30" s="168" t="str">
        <f>IF($D$27="","",$D$27)</f>
        <v>USD/pcs</v>
      </c>
      <c r="E30" s="404">
        <v>0</v>
      </c>
      <c r="F30" s="170"/>
      <c r="G30" s="169">
        <f>SUM(G27:G29)</f>
        <v>38.247619047619047</v>
      </c>
      <c r="H30" s="170"/>
      <c r="I30" s="169">
        <f>SUM(I27:I29)</f>
        <v>0</v>
      </c>
      <c r="J30" s="171"/>
      <c r="K30" s="169">
        <f>SUM(K27:K29)</f>
        <v>0</v>
      </c>
      <c r="L30" s="172"/>
      <c r="N30" s="78"/>
      <c r="O30" s="22" t="s">
        <v>177</v>
      </c>
      <c r="P30" s="48"/>
      <c r="Q30" s="72"/>
      <c r="R30" s="148"/>
      <c r="S30" s="149"/>
      <c r="T30" s="149"/>
      <c r="U30" s="61"/>
      <c r="V30" s="72"/>
      <c r="W30" s="173"/>
      <c r="X30" s="72"/>
      <c r="Y30" s="72"/>
      <c r="Z30" s="6"/>
      <c r="AA30" s="6"/>
    </row>
    <row r="31" spans="1:31" s="31" customFormat="1" ht="19.5" customHeight="1">
      <c r="A31" s="174" t="s">
        <v>178</v>
      </c>
      <c r="B31" s="464" t="s">
        <v>179</v>
      </c>
      <c r="C31" s="465"/>
      <c r="D31" s="466"/>
      <c r="E31" s="175">
        <v>2</v>
      </c>
      <c r="F31" s="176">
        <v>1</v>
      </c>
      <c r="G31" s="175">
        <v>2</v>
      </c>
      <c r="H31" s="176">
        <v>1</v>
      </c>
      <c r="I31" s="175"/>
      <c r="J31" s="177"/>
      <c r="K31" s="175"/>
      <c r="L31" s="178"/>
      <c r="N31" s="78"/>
      <c r="O31" s="36" t="s">
        <v>180</v>
      </c>
      <c r="P31" s="48"/>
      <c r="Q31" s="143"/>
      <c r="R31" s="72"/>
      <c r="S31" s="72"/>
      <c r="T31" s="72"/>
      <c r="U31" s="61"/>
      <c r="V31" s="72"/>
      <c r="W31" s="166"/>
      <c r="X31" s="72"/>
      <c r="Y31" s="72"/>
      <c r="Z31" s="6"/>
      <c r="AA31" s="6"/>
    </row>
    <row r="32" spans="1:31" s="137" customFormat="1" ht="19.5" customHeight="1">
      <c r="A32" s="179" t="s">
        <v>113</v>
      </c>
      <c r="B32" s="180" t="s">
        <v>498</v>
      </c>
      <c r="C32" s="181" t="s">
        <v>181</v>
      </c>
      <c r="D32" s="182" t="s">
        <v>182</v>
      </c>
      <c r="E32" s="405"/>
      <c r="F32" s="406"/>
      <c r="G32" s="183" t="s">
        <v>41</v>
      </c>
      <c r="H32" s="184" t="s">
        <v>183</v>
      </c>
      <c r="I32" s="183"/>
      <c r="J32" s="185"/>
      <c r="K32" s="183"/>
      <c r="L32" s="186"/>
      <c r="N32" s="187"/>
      <c r="O32" s="36" t="s">
        <v>184</v>
      </c>
      <c r="P32" s="37"/>
      <c r="Q32" s="143"/>
      <c r="R32" s="148"/>
      <c r="S32" s="149"/>
      <c r="T32" s="149"/>
      <c r="U32" s="61"/>
      <c r="V32" s="72"/>
      <c r="W32" s="166"/>
      <c r="X32" s="72"/>
      <c r="Y32" s="72"/>
      <c r="Z32" s="6"/>
      <c r="AA32" s="6"/>
      <c r="AB32" s="31"/>
      <c r="AC32" s="31"/>
      <c r="AD32" s="31"/>
      <c r="AE32" s="31"/>
    </row>
    <row r="33" spans="1:28" s="31" customFormat="1" ht="27">
      <c r="A33" s="188"/>
      <c r="B33" s="189"/>
      <c r="C33" s="190" t="s">
        <v>185</v>
      </c>
      <c r="D33" s="191" t="s">
        <v>186</v>
      </c>
      <c r="E33" s="407"/>
      <c r="F33" s="408"/>
      <c r="G33" s="192">
        <v>120</v>
      </c>
      <c r="H33" s="193">
        <v>10</v>
      </c>
      <c r="I33" s="192"/>
      <c r="J33" s="194"/>
      <c r="K33" s="192"/>
      <c r="L33" s="195"/>
      <c r="N33" s="78"/>
      <c r="O33" s="36" t="s">
        <v>86</v>
      </c>
      <c r="P33" s="48"/>
      <c r="Q33" s="72"/>
      <c r="R33" s="148"/>
      <c r="S33" s="149"/>
      <c r="T33" s="149"/>
      <c r="U33" s="61"/>
      <c r="V33" s="136"/>
      <c r="W33" s="166"/>
      <c r="X33" s="72"/>
      <c r="Y33" s="72"/>
      <c r="Z33" s="6"/>
      <c r="AA33" s="6"/>
    </row>
    <row r="34" spans="1:28" s="31" customFormat="1" ht="19.5" customHeight="1">
      <c r="A34" s="179"/>
      <c r="B34" s="196"/>
      <c r="C34" s="197" t="s">
        <v>187</v>
      </c>
      <c r="D34" s="198" t="str">
        <f>IF($D$27="","",$D$27)</f>
        <v>USD/pcs</v>
      </c>
      <c r="E34" s="409" t="str">
        <f>IF(OR(E33="",F33=""),"",ROUND(F33/E33*1000,2))</f>
        <v/>
      </c>
      <c r="F34" s="410"/>
      <c r="G34" s="199">
        <f>IF(OR(G33="",H33=""),"",ROUND(H33/G33*1000,2))</f>
        <v>83.33</v>
      </c>
      <c r="H34" s="200"/>
      <c r="I34" s="199" t="str">
        <f>IF(OR(I33="",J33=""),"",ROUND(J33/I33*1000,2))</f>
        <v/>
      </c>
      <c r="J34" s="201"/>
      <c r="K34" s="199" t="str">
        <f>IF(OR(K33="",L33=""),"",ROUND(L33/K33*1000,2))</f>
        <v/>
      </c>
      <c r="L34" s="202"/>
      <c r="N34" s="78"/>
      <c r="O34" s="36" t="s">
        <v>188</v>
      </c>
      <c r="P34" s="48"/>
      <c r="Q34" s="143"/>
      <c r="R34" s="72"/>
      <c r="S34" s="72"/>
      <c r="T34" s="72"/>
      <c r="U34" s="61"/>
      <c r="V34" s="150"/>
      <c r="W34" s="61"/>
      <c r="X34" s="72"/>
      <c r="Y34" s="72"/>
      <c r="Z34" s="6"/>
      <c r="AA34" s="6"/>
    </row>
    <row r="35" spans="1:28" s="31" customFormat="1" ht="19.5" customHeight="1">
      <c r="A35" s="188"/>
      <c r="B35" s="180" t="s">
        <v>189</v>
      </c>
      <c r="C35" s="181" t="s">
        <v>181</v>
      </c>
      <c r="D35" s="182" t="s">
        <v>182</v>
      </c>
      <c r="E35" s="405"/>
      <c r="F35" s="411"/>
      <c r="G35" s="183" t="s">
        <v>190</v>
      </c>
      <c r="H35" s="203"/>
      <c r="I35" s="183"/>
      <c r="J35" s="185"/>
      <c r="K35" s="183"/>
      <c r="L35" s="186"/>
      <c r="N35" s="78"/>
      <c r="O35" s="36" t="s">
        <v>191</v>
      </c>
      <c r="P35" s="48"/>
      <c r="Q35" s="143"/>
      <c r="R35" s="148"/>
      <c r="S35" s="149"/>
      <c r="T35" s="149"/>
      <c r="U35" s="61"/>
      <c r="V35" s="150"/>
      <c r="W35" s="72"/>
      <c r="X35" s="72"/>
      <c r="Y35" s="72"/>
      <c r="Z35" s="6"/>
      <c r="AA35" s="6"/>
    </row>
    <row r="36" spans="1:28" s="31" customFormat="1" ht="27">
      <c r="A36" s="188"/>
      <c r="B36" s="189"/>
      <c r="C36" s="190" t="s">
        <v>185</v>
      </c>
      <c r="D36" s="191" t="s">
        <v>186</v>
      </c>
      <c r="E36" s="407"/>
      <c r="F36" s="408"/>
      <c r="G36" s="192">
        <v>350</v>
      </c>
      <c r="H36" s="193">
        <v>8</v>
      </c>
      <c r="I36" s="192"/>
      <c r="J36" s="194"/>
      <c r="K36" s="192"/>
      <c r="L36" s="195"/>
      <c r="N36" s="78"/>
      <c r="O36" s="36" t="s">
        <v>192</v>
      </c>
      <c r="P36" s="48"/>
      <c r="Q36" s="72"/>
      <c r="R36" s="148"/>
      <c r="S36" s="149"/>
      <c r="T36" s="149"/>
      <c r="U36" s="72"/>
      <c r="V36" s="150"/>
      <c r="W36" s="72"/>
      <c r="X36" s="72"/>
      <c r="Y36" s="72"/>
      <c r="Z36" s="6"/>
      <c r="AA36" s="6"/>
    </row>
    <row r="37" spans="1:28" s="31" customFormat="1" ht="19.5" customHeight="1">
      <c r="A37" s="179"/>
      <c r="B37" s="196"/>
      <c r="C37" s="197" t="s">
        <v>187</v>
      </c>
      <c r="D37" s="198" t="str">
        <f>IF($D$27="","",$D$27)</f>
        <v>USD/pcs</v>
      </c>
      <c r="E37" s="409"/>
      <c r="F37" s="410"/>
      <c r="G37" s="199">
        <f>IF(OR(G36="",H36=""),"",ROUND(H36/G36*1000,2))</f>
        <v>22.86</v>
      </c>
      <c r="H37" s="200"/>
      <c r="I37" s="199" t="str">
        <f>IF(OR(I36="",J36=""),"",ROUND(J36/I36*1000,2))</f>
        <v/>
      </c>
      <c r="J37" s="201"/>
      <c r="K37" s="199" t="str">
        <f>IF(OR(K36="",L36=""),"",ROUND(L36/K36*1000,2))</f>
        <v/>
      </c>
      <c r="L37" s="202"/>
      <c r="N37" s="78"/>
      <c r="O37" s="36" t="s">
        <v>193</v>
      </c>
      <c r="P37" s="48"/>
      <c r="Q37" s="143"/>
      <c r="R37" s="72"/>
      <c r="S37" s="72"/>
      <c r="T37" s="72"/>
      <c r="U37" s="72"/>
      <c r="V37" s="150"/>
      <c r="W37" s="72"/>
      <c r="X37" s="72"/>
      <c r="Y37" s="72"/>
      <c r="Z37" s="6"/>
      <c r="AA37" s="6"/>
    </row>
    <row r="38" spans="1:28" s="31" customFormat="1" ht="19.5" customHeight="1">
      <c r="A38" s="188"/>
      <c r="B38" s="180" t="s">
        <v>194</v>
      </c>
      <c r="C38" s="181" t="s">
        <v>181</v>
      </c>
      <c r="D38" s="182" t="s">
        <v>182</v>
      </c>
      <c r="E38" s="405"/>
      <c r="F38" s="411"/>
      <c r="G38" s="183"/>
      <c r="H38" s="203"/>
      <c r="I38" s="183"/>
      <c r="J38" s="185"/>
      <c r="K38" s="183"/>
      <c r="L38" s="186"/>
      <c r="N38" s="78"/>
      <c r="O38" s="36" t="s">
        <v>195</v>
      </c>
      <c r="P38" s="149"/>
      <c r="Q38" s="143"/>
      <c r="R38" s="148"/>
      <c r="S38" s="149"/>
      <c r="T38" s="149"/>
      <c r="U38" s="72"/>
      <c r="V38" s="61"/>
      <c r="W38" s="72"/>
      <c r="X38" s="72"/>
      <c r="Y38" s="72"/>
      <c r="Z38" s="6"/>
      <c r="AA38" s="6"/>
    </row>
    <row r="39" spans="1:28" s="31" customFormat="1" ht="27">
      <c r="A39" s="188"/>
      <c r="B39" s="189"/>
      <c r="C39" s="190" t="s">
        <v>185</v>
      </c>
      <c r="D39" s="191" t="s">
        <v>186</v>
      </c>
      <c r="E39" s="407"/>
      <c r="F39" s="408"/>
      <c r="G39" s="192"/>
      <c r="H39" s="193"/>
      <c r="I39" s="192"/>
      <c r="J39" s="194"/>
      <c r="K39" s="192"/>
      <c r="L39" s="195"/>
      <c r="N39" s="78"/>
      <c r="O39" s="36" t="s">
        <v>196</v>
      </c>
      <c r="P39" s="72"/>
      <c r="Q39" s="72"/>
      <c r="R39" s="148"/>
      <c r="S39" s="149"/>
      <c r="T39" s="149"/>
      <c r="U39" s="72"/>
      <c r="V39" s="61"/>
      <c r="W39" s="72"/>
      <c r="X39" s="72"/>
      <c r="Y39" s="72"/>
      <c r="Z39" s="6"/>
      <c r="AA39" s="6"/>
    </row>
    <row r="40" spans="1:28" s="31" customFormat="1" ht="19.5" customHeight="1">
      <c r="A40" s="179"/>
      <c r="B40" s="196"/>
      <c r="C40" s="197" t="s">
        <v>187</v>
      </c>
      <c r="D40" s="198" t="str">
        <f>IF($D$27="","",$D$27)</f>
        <v>USD/pcs</v>
      </c>
      <c r="E40" s="409" t="str">
        <f>IF(OR(E39="",F39=""),"",ROUND(F39/E39*1000,2))</f>
        <v/>
      </c>
      <c r="F40" s="410"/>
      <c r="G40" s="199" t="str">
        <f>IF(OR(G39="",H39=""),"",ROUND(H39/G39*1000,2))</f>
        <v/>
      </c>
      <c r="H40" s="200"/>
      <c r="I40" s="199" t="str">
        <f>IF(OR(I39="",J39=""),"",ROUND(J39/I39*1000,2))</f>
        <v/>
      </c>
      <c r="J40" s="201"/>
      <c r="K40" s="199" t="str">
        <f>IF(OR(K39="",L39=""),"",ROUND(L39/K39*1000,2))</f>
        <v/>
      </c>
      <c r="L40" s="202"/>
      <c r="N40" s="78"/>
      <c r="O40" s="22" t="s">
        <v>197</v>
      </c>
      <c r="P40" s="149"/>
      <c r="Q40" s="143"/>
      <c r="R40" s="72"/>
      <c r="S40" s="72"/>
      <c r="T40" s="72"/>
      <c r="U40" s="72"/>
      <c r="V40" s="72"/>
      <c r="W40" s="61"/>
      <c r="X40" s="72"/>
      <c r="Y40" s="72"/>
      <c r="Z40" s="72"/>
      <c r="AA40" s="6"/>
      <c r="AB40" s="6"/>
    </row>
    <row r="41" spans="1:28" s="31" customFormat="1" ht="19.5" customHeight="1">
      <c r="A41" s="188"/>
      <c r="B41" s="180" t="s">
        <v>198</v>
      </c>
      <c r="C41" s="181" t="s">
        <v>181</v>
      </c>
      <c r="D41" s="182" t="s">
        <v>182</v>
      </c>
      <c r="E41" s="405"/>
      <c r="F41" s="411"/>
      <c r="G41" s="183"/>
      <c r="H41" s="203"/>
      <c r="I41" s="183"/>
      <c r="J41" s="185"/>
      <c r="K41" s="183"/>
      <c r="L41" s="186"/>
      <c r="N41" s="78"/>
      <c r="O41" s="36" t="s">
        <v>199</v>
      </c>
      <c r="P41" s="149"/>
      <c r="Q41" s="143"/>
      <c r="R41" s="148"/>
      <c r="S41" s="149"/>
      <c r="T41" s="149"/>
      <c r="U41" s="72"/>
      <c r="V41" s="72"/>
      <c r="W41" s="61"/>
      <c r="X41" s="72"/>
      <c r="Y41" s="72"/>
      <c r="Z41" s="72"/>
      <c r="AA41" s="6"/>
      <c r="AB41" s="6"/>
    </row>
    <row r="42" spans="1:28" s="31" customFormat="1" ht="27">
      <c r="A42" s="188"/>
      <c r="B42" s="189"/>
      <c r="C42" s="190" t="s">
        <v>185</v>
      </c>
      <c r="D42" s="191" t="s">
        <v>186</v>
      </c>
      <c r="E42" s="407"/>
      <c r="F42" s="408"/>
      <c r="G42" s="192"/>
      <c r="H42" s="193"/>
      <c r="I42" s="192"/>
      <c r="J42" s="194"/>
      <c r="K42" s="192"/>
      <c r="L42" s="195"/>
      <c r="N42" s="78"/>
      <c r="O42" s="22" t="s">
        <v>200</v>
      </c>
      <c r="P42" s="72"/>
      <c r="Q42" s="72"/>
      <c r="R42" s="148"/>
      <c r="S42" s="149"/>
      <c r="T42" s="149"/>
      <c r="U42" s="72"/>
      <c r="V42" s="72"/>
      <c r="W42" s="61"/>
      <c r="X42" s="72"/>
      <c r="Y42" s="72"/>
      <c r="Z42" s="72"/>
      <c r="AA42" s="6"/>
      <c r="AB42" s="6"/>
    </row>
    <row r="43" spans="1:28" s="31" customFormat="1" ht="19.5" customHeight="1">
      <c r="A43" s="179"/>
      <c r="B43" s="196"/>
      <c r="C43" s="197" t="s">
        <v>187</v>
      </c>
      <c r="D43" s="198" t="str">
        <f>IF($D$27="","",$D$27)</f>
        <v>USD/pcs</v>
      </c>
      <c r="E43" s="409" t="str">
        <f>IF(OR(E42="",F42=""),"",ROUND(F42/E42*1000,2))</f>
        <v/>
      </c>
      <c r="F43" s="410"/>
      <c r="G43" s="199" t="str">
        <f>IF(OR(G42="",H42=""),"",ROUND(H42/G42*1000,2))</f>
        <v/>
      </c>
      <c r="H43" s="200"/>
      <c r="I43" s="199" t="str">
        <f>IF(OR(I42="",J42=""),"",ROUND(J42/I42*1000,2))</f>
        <v/>
      </c>
      <c r="J43" s="201"/>
      <c r="K43" s="199" t="str">
        <f>IF(OR(K42="",L42=""),"",ROUND(L42/K42*1000,2))</f>
        <v/>
      </c>
      <c r="L43" s="202"/>
      <c r="N43" s="78"/>
      <c r="O43" s="22" t="s">
        <v>201</v>
      </c>
      <c r="P43" s="149"/>
      <c r="Q43" s="143"/>
      <c r="R43" s="72"/>
      <c r="S43" s="72"/>
      <c r="T43" s="72"/>
      <c r="U43" s="148"/>
      <c r="V43" s="148"/>
      <c r="W43" s="61"/>
      <c r="X43" s="72"/>
      <c r="Y43" s="204"/>
      <c r="Z43" s="6"/>
      <c r="AA43" s="6"/>
      <c r="AB43" s="6"/>
    </row>
    <row r="44" spans="1:28" s="31" customFormat="1" ht="19.5" customHeight="1">
      <c r="A44" s="188"/>
      <c r="B44" s="180" t="s">
        <v>202</v>
      </c>
      <c r="C44" s="181" t="s">
        <v>181</v>
      </c>
      <c r="D44" s="182" t="s">
        <v>182</v>
      </c>
      <c r="E44" s="405"/>
      <c r="F44" s="411"/>
      <c r="G44" s="183"/>
      <c r="H44" s="203"/>
      <c r="I44" s="183"/>
      <c r="J44" s="185"/>
      <c r="K44" s="183"/>
      <c r="L44" s="186"/>
      <c r="N44" s="78"/>
      <c r="O44" s="36" t="s">
        <v>203</v>
      </c>
      <c r="P44" s="149"/>
      <c r="Q44" s="143"/>
      <c r="R44" s="148"/>
      <c r="S44" s="149"/>
      <c r="T44" s="149"/>
      <c r="U44" s="72"/>
      <c r="V44" s="72"/>
      <c r="W44" s="72"/>
      <c r="X44" s="72"/>
      <c r="Y44" s="5"/>
      <c r="Z44" s="6"/>
      <c r="AA44" s="6"/>
      <c r="AB44" s="6"/>
    </row>
    <row r="45" spans="1:28" s="31" customFormat="1" ht="27">
      <c r="A45" s="188"/>
      <c r="B45" s="189"/>
      <c r="C45" s="190" t="s">
        <v>185</v>
      </c>
      <c r="D45" s="191" t="s">
        <v>186</v>
      </c>
      <c r="E45" s="407"/>
      <c r="F45" s="408"/>
      <c r="G45" s="192"/>
      <c r="H45" s="193"/>
      <c r="I45" s="192"/>
      <c r="J45" s="194"/>
      <c r="K45" s="192"/>
      <c r="L45" s="195"/>
      <c r="N45" s="78"/>
      <c r="O45" s="36" t="s">
        <v>204</v>
      </c>
      <c r="P45" s="72"/>
      <c r="Q45" s="72"/>
      <c r="R45" s="148"/>
      <c r="S45" s="149"/>
      <c r="T45" s="149"/>
      <c r="U45" s="148"/>
      <c r="V45" s="148"/>
      <c r="W45" s="72"/>
      <c r="X45" s="72"/>
      <c r="Y45" s="5"/>
      <c r="Z45" s="6"/>
      <c r="AA45" s="6"/>
      <c r="AB45" s="6"/>
    </row>
    <row r="46" spans="1:28" s="31" customFormat="1" ht="19.5" customHeight="1">
      <c r="A46" s="179"/>
      <c r="B46" s="196"/>
      <c r="C46" s="197" t="s">
        <v>187</v>
      </c>
      <c r="D46" s="198" t="str">
        <f>IF($D$27="","",$D$27)</f>
        <v>USD/pcs</v>
      </c>
      <c r="E46" s="409" t="str">
        <f>IF(OR(E45="",F45=""),"",ROUND(F45/E45*1000,2))</f>
        <v/>
      </c>
      <c r="F46" s="410"/>
      <c r="G46" s="199" t="str">
        <f>IF(OR(G45="",H45=""),"",ROUND(H45/G45*1000,2))</f>
        <v/>
      </c>
      <c r="H46" s="200"/>
      <c r="I46" s="199" t="str">
        <f>IF(OR(I45="",J45=""),"",ROUND(J45/I45*1000,2))</f>
        <v/>
      </c>
      <c r="J46" s="201"/>
      <c r="K46" s="199" t="str">
        <f>IF(OR(K45="",L45=""),"",ROUND(L45/K45*1000,2))</f>
        <v/>
      </c>
      <c r="L46" s="202"/>
      <c r="N46" s="78"/>
      <c r="O46" s="22" t="s">
        <v>205</v>
      </c>
      <c r="P46" s="149"/>
      <c r="Q46" s="143"/>
      <c r="R46" s="72"/>
      <c r="S46" s="72"/>
      <c r="T46" s="72"/>
      <c r="U46" s="148"/>
      <c r="V46" s="148"/>
      <c r="W46" s="72"/>
      <c r="X46" s="72"/>
      <c r="Y46" s="5"/>
      <c r="Z46" s="6"/>
      <c r="AA46" s="6"/>
      <c r="AB46" s="6"/>
    </row>
    <row r="47" spans="1:28" s="31" customFormat="1" ht="19.5" customHeight="1">
      <c r="A47" s="188"/>
      <c r="B47" s="180" t="s">
        <v>206</v>
      </c>
      <c r="C47" s="181" t="s">
        <v>181</v>
      </c>
      <c r="D47" s="182" t="s">
        <v>182</v>
      </c>
      <c r="E47" s="405"/>
      <c r="F47" s="411"/>
      <c r="G47" s="183"/>
      <c r="H47" s="203"/>
      <c r="I47" s="183"/>
      <c r="J47" s="185"/>
      <c r="K47" s="183"/>
      <c r="L47" s="186"/>
      <c r="N47" s="78"/>
      <c r="O47" s="22" t="s">
        <v>207</v>
      </c>
      <c r="P47" s="149"/>
      <c r="Q47" s="143"/>
      <c r="R47" s="148"/>
      <c r="S47" s="149"/>
      <c r="T47" s="149"/>
      <c r="U47" s="72"/>
      <c r="V47" s="72"/>
      <c r="W47" s="72"/>
      <c r="X47" s="72"/>
      <c r="Y47" s="5"/>
      <c r="Z47" s="6"/>
      <c r="AA47" s="6"/>
      <c r="AB47" s="6"/>
    </row>
    <row r="48" spans="1:28" s="31" customFormat="1" ht="27">
      <c r="A48" s="188"/>
      <c r="B48" s="189"/>
      <c r="C48" s="190" t="s">
        <v>185</v>
      </c>
      <c r="D48" s="191" t="s">
        <v>186</v>
      </c>
      <c r="E48" s="407"/>
      <c r="F48" s="408"/>
      <c r="G48" s="192"/>
      <c r="H48" s="193"/>
      <c r="I48" s="192"/>
      <c r="J48" s="194"/>
      <c r="K48" s="192"/>
      <c r="L48" s="195"/>
      <c r="N48" s="78"/>
      <c r="O48" s="36" t="s">
        <v>208</v>
      </c>
      <c r="P48" s="72"/>
      <c r="Q48" s="72"/>
      <c r="R48" s="148"/>
      <c r="S48" s="149"/>
      <c r="T48" s="149"/>
      <c r="U48" s="148"/>
      <c r="V48" s="148"/>
      <c r="W48" s="72"/>
      <c r="X48" s="72"/>
      <c r="Y48" s="5"/>
      <c r="Z48" s="6"/>
      <c r="AA48" s="6"/>
      <c r="AB48" s="6"/>
    </row>
    <row r="49" spans="1:28" s="31" customFormat="1" ht="19.5" customHeight="1">
      <c r="A49" s="179"/>
      <c r="B49" s="196"/>
      <c r="C49" s="197" t="s">
        <v>187</v>
      </c>
      <c r="D49" s="198" t="str">
        <f>IF($D$27="","",$D$27)</f>
        <v>USD/pcs</v>
      </c>
      <c r="E49" s="409" t="str">
        <f>IF(OR(E48="",F48=""),"",ROUND(F48/E48*1000,2))</f>
        <v/>
      </c>
      <c r="F49" s="410"/>
      <c r="G49" s="199" t="str">
        <f>IF(OR(G48="",H48=""),"",ROUND(H48/G48*1000,2))</f>
        <v/>
      </c>
      <c r="H49" s="200"/>
      <c r="I49" s="199" t="str">
        <f>IF(OR(I48="",J48=""),"",ROUND(J48/I48*1000,2))</f>
        <v/>
      </c>
      <c r="J49" s="201"/>
      <c r="K49" s="199" t="str">
        <f>IF(OR(K48="",L48=""),"",ROUND(L48/K48*1000,2))</f>
        <v/>
      </c>
      <c r="L49" s="202"/>
      <c r="N49" s="78"/>
      <c r="O49" s="36" t="s">
        <v>209</v>
      </c>
    </row>
    <row r="50" spans="1:28" s="31" customFormat="1" ht="19.5" customHeight="1">
      <c r="A50" s="188"/>
      <c r="B50" s="180" t="s">
        <v>210</v>
      </c>
      <c r="C50" s="181" t="s">
        <v>181</v>
      </c>
      <c r="D50" s="182" t="s">
        <v>182</v>
      </c>
      <c r="E50" s="405"/>
      <c r="F50" s="411"/>
      <c r="G50" s="183"/>
      <c r="H50" s="203"/>
      <c r="I50" s="183"/>
      <c r="J50" s="185"/>
      <c r="K50" s="183"/>
      <c r="L50" s="186"/>
      <c r="N50" s="78"/>
      <c r="O50" s="36" t="s">
        <v>211</v>
      </c>
    </row>
    <row r="51" spans="1:28" s="31" customFormat="1" ht="27">
      <c r="A51" s="188"/>
      <c r="B51" s="189"/>
      <c r="C51" s="190" t="s">
        <v>185</v>
      </c>
      <c r="D51" s="191" t="s">
        <v>186</v>
      </c>
      <c r="E51" s="407"/>
      <c r="F51" s="408"/>
      <c r="G51" s="192"/>
      <c r="H51" s="193"/>
      <c r="I51" s="192"/>
      <c r="J51" s="194"/>
      <c r="K51" s="192"/>
      <c r="L51" s="195"/>
      <c r="N51" s="78"/>
      <c r="O51" s="36" t="s">
        <v>212</v>
      </c>
    </row>
    <row r="52" spans="1:28" s="31" customFormat="1" ht="19.5" customHeight="1">
      <c r="A52" s="179"/>
      <c r="B52" s="196"/>
      <c r="C52" s="197" t="s">
        <v>187</v>
      </c>
      <c r="D52" s="198" t="str">
        <f>IF($D$27="","",$D$27)</f>
        <v>USD/pcs</v>
      </c>
      <c r="E52" s="409" t="str">
        <f>IF(OR(E51="",F51=""),"",ROUND(F51/E51*1000,2))</f>
        <v/>
      </c>
      <c r="F52" s="410"/>
      <c r="G52" s="199" t="str">
        <f>IF(OR(G51="",H51=""),"",ROUND(H51/G51*1000,2))</f>
        <v/>
      </c>
      <c r="H52" s="200"/>
      <c r="I52" s="199" t="str">
        <f>IF(OR(I51="",J51=""),"",ROUND(J51/I51*1000,2))</f>
        <v/>
      </c>
      <c r="J52" s="201"/>
      <c r="K52" s="199" t="str">
        <f>IF(OR(K51="",L51=""),"",ROUND(L51/K51*1000,2))</f>
        <v/>
      </c>
      <c r="L52" s="202"/>
      <c r="N52" s="78"/>
      <c r="O52" s="36" t="s">
        <v>213</v>
      </c>
    </row>
    <row r="53" spans="1:28" s="31" customFormat="1" ht="19.5" customHeight="1">
      <c r="A53" s="188"/>
      <c r="B53" s="180" t="s">
        <v>214</v>
      </c>
      <c r="C53" s="181" t="s">
        <v>181</v>
      </c>
      <c r="D53" s="182" t="s">
        <v>182</v>
      </c>
      <c r="E53" s="405"/>
      <c r="F53" s="411"/>
      <c r="G53" s="183"/>
      <c r="H53" s="203"/>
      <c r="I53" s="183"/>
      <c r="J53" s="185"/>
      <c r="K53" s="183"/>
      <c r="L53" s="186"/>
      <c r="N53" s="78"/>
      <c r="O53" s="36" t="s">
        <v>215</v>
      </c>
    </row>
    <row r="54" spans="1:28" s="31" customFormat="1" ht="27">
      <c r="A54" s="188"/>
      <c r="B54" s="189"/>
      <c r="C54" s="190" t="s">
        <v>185</v>
      </c>
      <c r="D54" s="191" t="s">
        <v>186</v>
      </c>
      <c r="E54" s="407"/>
      <c r="F54" s="408"/>
      <c r="G54" s="192"/>
      <c r="H54" s="193"/>
      <c r="I54" s="192"/>
      <c r="J54" s="194"/>
      <c r="K54" s="192"/>
      <c r="L54" s="195"/>
      <c r="N54" s="78"/>
      <c r="O54" s="36" t="s">
        <v>216</v>
      </c>
    </row>
    <row r="55" spans="1:28" s="31" customFormat="1" ht="19.5" customHeight="1">
      <c r="A55" s="179"/>
      <c r="B55" s="196"/>
      <c r="C55" s="197" t="s">
        <v>187</v>
      </c>
      <c r="D55" s="198" t="str">
        <f t="shared" ref="D55:D60" si="0">IF($D$27="","",$D$27)</f>
        <v>USD/pcs</v>
      </c>
      <c r="E55" s="412" t="str">
        <f>IF(OR(E54="",F54=""),"",ROUND(F54/E54*1000,2))</f>
        <v/>
      </c>
      <c r="F55" s="413"/>
      <c r="G55" s="205" t="str">
        <f>IF(OR(G54="",H54=""),"",ROUND(H54/G54*1000,2))</f>
        <v/>
      </c>
      <c r="H55" s="206"/>
      <c r="I55" s="205" t="str">
        <f>IF(OR(I54="",J54=""),"",ROUND(J54/I54*1000,2))</f>
        <v/>
      </c>
      <c r="J55" s="207"/>
      <c r="K55" s="205" t="str">
        <f>IF(OR(K54="",L54=""),"",ROUND(L54/K54*1000,2))</f>
        <v/>
      </c>
      <c r="L55" s="208"/>
      <c r="N55" s="78"/>
      <c r="O55" s="36" t="s">
        <v>217</v>
      </c>
      <c r="P55" s="72"/>
      <c r="Q55" s="72"/>
      <c r="R55" s="72"/>
      <c r="S55" s="72"/>
      <c r="T55" s="72"/>
      <c r="U55" s="148"/>
      <c r="V55" s="148"/>
      <c r="W55" s="72"/>
      <c r="X55" s="72"/>
      <c r="Y55" s="5"/>
      <c r="Z55" s="6"/>
      <c r="AA55" s="6"/>
      <c r="AB55" s="6"/>
    </row>
    <row r="56" spans="1:28" s="31" customFormat="1" ht="19.5" customHeight="1">
      <c r="A56" s="209"/>
      <c r="B56" s="467" t="s">
        <v>218</v>
      </c>
      <c r="C56" s="467"/>
      <c r="D56" s="210" t="str">
        <f t="shared" si="0"/>
        <v>USD/pcs</v>
      </c>
      <c r="E56" s="211">
        <v>0</v>
      </c>
      <c r="F56" s="212" t="str">
        <f>IF(ISERROR(SUM(F34,F39,#REF!,#REF!,#REF!)),"",SUM(F34,F39,#REF!,#REF!,#REF!))</f>
        <v/>
      </c>
      <c r="G56" s="211">
        <f>SUM(G34,G37,G40,G43,G46,G49,G52,G55)</f>
        <v>106.19</v>
      </c>
      <c r="H56" s="212" t="str">
        <f>IF(ISERROR(SUM(H34,H39,#REF!,#REF!,#REF!)),"",SUM(H34,H39,#REF!,#REF!,#REF!))</f>
        <v/>
      </c>
      <c r="I56" s="211">
        <f>SUM(I34,I37,I40,I43,I46,I49,I52,I55)</f>
        <v>0</v>
      </c>
      <c r="J56" s="213" t="str">
        <f>IF(ISERROR(SUM(J34,J39,#REF!,#REF!,#REF!)),"",SUM(J34,J39,#REF!,#REF!,#REF!))</f>
        <v/>
      </c>
      <c r="K56" s="211">
        <f>SUM(K34,K37,K40,K43,K46,K49,K52,K55)</f>
        <v>0</v>
      </c>
      <c r="L56" s="214" t="str">
        <f>IF(ISERROR(SUM(L34,L39,#REF!,#REF!,#REF!)),"",SUM(L34,L39,#REF!,#REF!,#REF!))</f>
        <v/>
      </c>
      <c r="N56" s="78"/>
      <c r="O56" s="36" t="s">
        <v>219</v>
      </c>
      <c r="P56" s="72"/>
      <c r="Q56" s="72"/>
      <c r="R56" s="72"/>
      <c r="S56" s="72"/>
      <c r="T56" s="72"/>
      <c r="U56" s="72"/>
      <c r="V56" s="72"/>
      <c r="W56" s="72"/>
      <c r="X56" s="72"/>
      <c r="Y56" s="5"/>
      <c r="Z56" s="6"/>
      <c r="AA56" s="6"/>
      <c r="AB56" s="6"/>
    </row>
    <row r="57" spans="1:28" s="31" customFormat="1" ht="18.75" customHeight="1">
      <c r="A57" s="468" t="s">
        <v>220</v>
      </c>
      <c r="B57" s="470" t="s">
        <v>221</v>
      </c>
      <c r="C57" s="471"/>
      <c r="D57" s="215" t="str">
        <f t="shared" si="0"/>
        <v>USD/pcs</v>
      </c>
      <c r="E57" s="414"/>
      <c r="F57" s="415"/>
      <c r="G57" s="216">
        <v>0.05</v>
      </c>
      <c r="H57" s="217">
        <f>ROUND(G30*G57,2)</f>
        <v>1.91</v>
      </c>
      <c r="I57" s="216"/>
      <c r="J57" s="218">
        <f>ROUND(I30*I57,2)</f>
        <v>0</v>
      </c>
      <c r="K57" s="216"/>
      <c r="L57" s="219">
        <f>ROUND(K30*K57,2)</f>
        <v>0</v>
      </c>
      <c r="N57" s="78"/>
      <c r="O57" s="36" t="s">
        <v>219</v>
      </c>
      <c r="P57" s="72"/>
      <c r="Q57" s="72"/>
      <c r="R57" s="72"/>
      <c r="S57" s="72"/>
      <c r="T57" s="72"/>
      <c r="U57" s="72"/>
      <c r="V57" s="72"/>
      <c r="W57" s="148"/>
      <c r="X57" s="72"/>
      <c r="Y57" s="5"/>
      <c r="Z57" s="6"/>
      <c r="AA57" s="6"/>
      <c r="AB57" s="6"/>
    </row>
    <row r="58" spans="1:28" s="31" customFormat="1" ht="18.75" customHeight="1">
      <c r="A58" s="469"/>
      <c r="B58" s="472" t="s">
        <v>222</v>
      </c>
      <c r="C58" s="473"/>
      <c r="D58" s="220" t="str">
        <f t="shared" si="0"/>
        <v>USD/pcs</v>
      </c>
      <c r="E58" s="416"/>
      <c r="F58" s="417"/>
      <c r="G58" s="221">
        <v>0.05</v>
      </c>
      <c r="H58" s="222">
        <f>ROUND(G56*G58,2)</f>
        <v>5.31</v>
      </c>
      <c r="I58" s="223"/>
      <c r="J58" s="224">
        <f>ROUND(I56*I58,2)</f>
        <v>0</v>
      </c>
      <c r="K58" s="223"/>
      <c r="L58" s="225">
        <f>ROUND(K56*K58,2)</f>
        <v>0</v>
      </c>
      <c r="N58" s="78"/>
      <c r="O58" s="36" t="s">
        <v>223</v>
      </c>
      <c r="P58" s="72"/>
      <c r="Q58" s="72"/>
      <c r="R58" s="72"/>
      <c r="S58" s="72"/>
      <c r="T58" s="72"/>
      <c r="U58" s="72"/>
      <c r="V58" s="72"/>
      <c r="W58" s="72"/>
      <c r="X58" s="72"/>
      <c r="Y58" s="5"/>
      <c r="Z58" s="6"/>
      <c r="AA58" s="6"/>
      <c r="AB58" s="6"/>
    </row>
    <row r="59" spans="1:28" s="31" customFormat="1" ht="18.75" customHeight="1">
      <c r="A59" s="226"/>
      <c r="B59" s="472" t="s">
        <v>224</v>
      </c>
      <c r="C59" s="473"/>
      <c r="D59" s="220" t="str">
        <f t="shared" si="0"/>
        <v>USD/pcs</v>
      </c>
      <c r="E59" s="418"/>
      <c r="F59" s="419"/>
      <c r="G59" s="227">
        <v>0.05</v>
      </c>
      <c r="H59" s="228">
        <f>(G30+G56)*G59</f>
        <v>7.2218809523809533</v>
      </c>
      <c r="I59" s="229"/>
      <c r="J59" s="230"/>
      <c r="K59" s="229"/>
      <c r="L59" s="231"/>
      <c r="N59" s="78"/>
      <c r="O59" s="36" t="s">
        <v>225</v>
      </c>
      <c r="P59" s="72"/>
      <c r="Q59" s="72"/>
      <c r="R59" s="72"/>
      <c r="S59" s="72"/>
      <c r="T59" s="72"/>
      <c r="U59" s="72"/>
      <c r="V59" s="72"/>
      <c r="W59" s="148"/>
      <c r="X59" s="72"/>
      <c r="Y59" s="5"/>
      <c r="Z59" s="6"/>
      <c r="AA59" s="6"/>
      <c r="AB59" s="6"/>
    </row>
    <row r="60" spans="1:28" s="31" customFormat="1" ht="19.5" customHeight="1">
      <c r="A60" s="232"/>
      <c r="B60" s="490" t="s">
        <v>226</v>
      </c>
      <c r="C60" s="490"/>
      <c r="D60" s="233" t="str">
        <f t="shared" si="0"/>
        <v>USD/pcs</v>
      </c>
      <c r="E60" s="234">
        <f>SUM(F57:F59)</f>
        <v>0</v>
      </c>
      <c r="F60" s="235"/>
      <c r="G60" s="234">
        <f>SUM(H57:H59)</f>
        <v>14.441880952380952</v>
      </c>
      <c r="H60" s="235"/>
      <c r="I60" s="234">
        <f>SUM(J57:J59)</f>
        <v>0</v>
      </c>
      <c r="J60" s="236"/>
      <c r="K60" s="234">
        <f>SUM(L57:L59)</f>
        <v>0</v>
      </c>
      <c r="L60" s="237"/>
      <c r="N60" s="78"/>
      <c r="O60" s="36" t="s">
        <v>227</v>
      </c>
      <c r="P60" s="72"/>
      <c r="Q60" s="72"/>
      <c r="R60" s="72"/>
      <c r="S60" s="72"/>
      <c r="T60" s="72"/>
      <c r="U60" s="72"/>
      <c r="V60" s="72"/>
      <c r="W60" s="148"/>
      <c r="X60" s="72"/>
      <c r="Y60" s="5"/>
      <c r="Z60" s="6"/>
      <c r="AA60" s="6"/>
      <c r="AB60" s="6"/>
    </row>
    <row r="61" spans="1:28" s="31" customFormat="1" ht="19.5" customHeight="1">
      <c r="A61" s="238" t="s">
        <v>228</v>
      </c>
      <c r="B61" s="491" t="s">
        <v>229</v>
      </c>
      <c r="C61" s="492"/>
      <c r="D61" s="239" t="s">
        <v>230</v>
      </c>
      <c r="E61" s="480">
        <v>0</v>
      </c>
      <c r="F61" s="493"/>
      <c r="G61" s="480" t="s">
        <v>231</v>
      </c>
      <c r="H61" s="493"/>
      <c r="I61" s="480"/>
      <c r="J61" s="494"/>
      <c r="K61" s="480"/>
      <c r="L61" s="481"/>
      <c r="N61" s="78"/>
      <c r="O61" s="36" t="s">
        <v>232</v>
      </c>
      <c r="P61" s="72"/>
      <c r="Q61" s="72"/>
      <c r="R61" s="72"/>
      <c r="S61" s="72"/>
      <c r="T61" s="72"/>
      <c r="U61" s="72"/>
      <c r="V61" s="72"/>
      <c r="W61" s="72"/>
      <c r="X61" s="72"/>
      <c r="Y61" s="5"/>
      <c r="Z61" s="6"/>
      <c r="AA61" s="6"/>
      <c r="AB61" s="6"/>
    </row>
    <row r="62" spans="1:28" s="31" customFormat="1" ht="19.5" customHeight="1">
      <c r="A62" s="240"/>
      <c r="B62" s="482" t="s">
        <v>233</v>
      </c>
      <c r="C62" s="483"/>
      <c r="D62" s="484"/>
      <c r="E62" s="422"/>
      <c r="F62" s="423"/>
      <c r="G62" s="241">
        <v>10</v>
      </c>
      <c r="H62" s="242">
        <v>100</v>
      </c>
      <c r="I62" s="243"/>
      <c r="J62" s="244"/>
      <c r="K62" s="243"/>
      <c r="L62" s="245"/>
      <c r="N62" s="78"/>
      <c r="O62" s="36" t="s">
        <v>234</v>
      </c>
      <c r="P62" s="72"/>
      <c r="Q62" s="72"/>
      <c r="R62" s="72"/>
      <c r="S62" s="72"/>
      <c r="T62" s="72"/>
      <c r="U62" s="72"/>
      <c r="V62" s="72"/>
      <c r="W62" s="148"/>
      <c r="X62" s="72"/>
      <c r="Y62" s="5"/>
      <c r="Z62" s="6"/>
      <c r="AA62" s="6"/>
      <c r="AB62" s="6"/>
    </row>
    <row r="63" spans="1:28" s="31" customFormat="1" ht="19.5" customHeight="1">
      <c r="A63" s="485" t="s">
        <v>235</v>
      </c>
      <c r="B63" s="486"/>
      <c r="C63" s="486"/>
      <c r="D63" s="78"/>
      <c r="E63" s="25" t="s">
        <v>151</v>
      </c>
      <c r="F63" s="246" t="s">
        <v>236</v>
      </c>
      <c r="G63" s="25" t="s">
        <v>151</v>
      </c>
      <c r="H63" s="246" t="s">
        <v>236</v>
      </c>
      <c r="I63" s="247" t="s">
        <v>237</v>
      </c>
      <c r="J63" s="241" t="s">
        <v>238</v>
      </c>
      <c r="K63" s="247" t="s">
        <v>237</v>
      </c>
      <c r="L63" s="248" t="s">
        <v>238</v>
      </c>
      <c r="N63" s="78"/>
      <c r="O63" s="36" t="s">
        <v>239</v>
      </c>
      <c r="P63" s="72"/>
      <c r="Q63" s="72"/>
      <c r="R63" s="72"/>
      <c r="S63" s="72"/>
      <c r="T63" s="72"/>
      <c r="U63" s="72"/>
      <c r="V63" s="72"/>
      <c r="W63" s="148"/>
      <c r="X63" s="72"/>
      <c r="Y63" s="5"/>
      <c r="Z63" s="6"/>
      <c r="AA63" s="6"/>
      <c r="AB63" s="6"/>
    </row>
    <row r="64" spans="1:28" s="31" customFormat="1" ht="19.5" customHeight="1">
      <c r="A64" s="487" t="s">
        <v>240</v>
      </c>
      <c r="B64" s="488"/>
      <c r="C64" s="488"/>
      <c r="D64" s="489"/>
      <c r="E64" s="420"/>
      <c r="F64" s="421"/>
      <c r="G64" s="249">
        <v>20000</v>
      </c>
      <c r="H64" s="250">
        <v>1</v>
      </c>
      <c r="I64" s="251"/>
      <c r="J64" s="79"/>
      <c r="K64" s="251"/>
      <c r="L64" s="252"/>
      <c r="N64" s="78"/>
      <c r="O64" s="36" t="s">
        <v>241</v>
      </c>
      <c r="P64" s="253"/>
      <c r="Q64" s="253"/>
      <c r="R64" s="72"/>
      <c r="S64" s="72"/>
      <c r="T64" s="72"/>
      <c r="U64" s="72"/>
      <c r="V64" s="72"/>
      <c r="W64" s="72"/>
      <c r="X64" s="72"/>
      <c r="Y64" s="5"/>
      <c r="Z64" s="6"/>
      <c r="AA64" s="6"/>
      <c r="AB64" s="6"/>
    </row>
    <row r="65" spans="1:28" s="31" customFormat="1" ht="19.5" customHeight="1">
      <c r="A65" s="487" t="s">
        <v>242</v>
      </c>
      <c r="B65" s="488"/>
      <c r="C65" s="488"/>
      <c r="D65" s="489"/>
      <c r="E65" s="420"/>
      <c r="F65" s="421"/>
      <c r="G65" s="249">
        <v>2000</v>
      </c>
      <c r="H65" s="250">
        <v>1</v>
      </c>
      <c r="I65" s="251"/>
      <c r="J65" s="79"/>
      <c r="K65" s="251"/>
      <c r="L65" s="252"/>
      <c r="N65" s="78"/>
      <c r="O65" s="36" t="s">
        <v>243</v>
      </c>
      <c r="P65" s="253"/>
      <c r="Q65" s="253"/>
      <c r="R65" s="253"/>
      <c r="S65" s="253"/>
      <c r="T65" s="253"/>
      <c r="U65" s="72"/>
      <c r="V65" s="72"/>
      <c r="W65" s="72"/>
      <c r="X65" s="72"/>
      <c r="Y65" s="5"/>
      <c r="Z65" s="254"/>
      <c r="AA65" s="254"/>
      <c r="AB65" s="254"/>
    </row>
    <row r="66" spans="1:28" s="31" customFormat="1" ht="19.5" customHeight="1">
      <c r="A66" s="487" t="s">
        <v>244</v>
      </c>
      <c r="B66" s="488"/>
      <c r="C66" s="488"/>
      <c r="D66" s="489"/>
      <c r="E66" s="420"/>
      <c r="F66" s="421"/>
      <c r="G66" s="249">
        <v>2000</v>
      </c>
      <c r="H66" s="250">
        <v>11</v>
      </c>
      <c r="I66" s="251"/>
      <c r="J66" s="79"/>
      <c r="K66" s="251"/>
      <c r="L66" s="252"/>
      <c r="N66" s="78"/>
      <c r="O66" s="36" t="s">
        <v>241</v>
      </c>
      <c r="P66" s="253"/>
      <c r="Q66" s="253"/>
      <c r="R66" s="72"/>
      <c r="S66" s="72"/>
      <c r="T66" s="72"/>
      <c r="U66" s="72"/>
      <c r="V66" s="72"/>
      <c r="W66" s="72"/>
      <c r="X66" s="72"/>
      <c r="Y66" s="5"/>
      <c r="Z66" s="6"/>
      <c r="AA66" s="6"/>
      <c r="AB66" s="6"/>
    </row>
    <row r="67" spans="1:28" s="31" customFormat="1" ht="19.5" customHeight="1">
      <c r="A67" s="487" t="s">
        <v>245</v>
      </c>
      <c r="B67" s="488"/>
      <c r="C67" s="488"/>
      <c r="D67" s="489"/>
      <c r="E67" s="420"/>
      <c r="F67" s="421"/>
      <c r="G67" s="249">
        <v>2000</v>
      </c>
      <c r="H67" s="250">
        <v>1</v>
      </c>
      <c r="I67" s="251"/>
      <c r="J67" s="79"/>
      <c r="K67" s="251"/>
      <c r="L67" s="252"/>
      <c r="N67" s="78"/>
      <c r="O67" s="36" t="s">
        <v>243</v>
      </c>
      <c r="P67" s="253"/>
      <c r="Q67" s="253"/>
      <c r="R67" s="253"/>
      <c r="S67" s="253"/>
      <c r="T67" s="253"/>
      <c r="U67" s="72"/>
      <c r="V67" s="72"/>
      <c r="W67" s="72"/>
      <c r="X67" s="72"/>
      <c r="Y67" s="5"/>
      <c r="Z67" s="254"/>
      <c r="AA67" s="254"/>
      <c r="AB67" s="254"/>
    </row>
    <row r="68" spans="1:28" s="31" customFormat="1" ht="19.5" customHeight="1">
      <c r="A68" s="487" t="s">
        <v>246</v>
      </c>
      <c r="B68" s="488"/>
      <c r="C68" s="488"/>
      <c r="D68" s="489"/>
      <c r="E68" s="420"/>
      <c r="F68" s="421"/>
      <c r="G68" s="249">
        <v>2000</v>
      </c>
      <c r="H68" s="250">
        <v>1</v>
      </c>
      <c r="I68" s="251"/>
      <c r="J68" s="79"/>
      <c r="K68" s="251"/>
      <c r="L68" s="252"/>
      <c r="N68" s="78"/>
      <c r="O68" s="36" t="s">
        <v>247</v>
      </c>
      <c r="P68" s="253"/>
      <c r="Q68" s="253"/>
      <c r="R68" s="253"/>
      <c r="S68" s="253"/>
      <c r="T68" s="253"/>
      <c r="U68" s="72"/>
      <c r="V68" s="72"/>
      <c r="W68" s="72"/>
      <c r="X68" s="72"/>
      <c r="Y68" s="5"/>
      <c r="Z68" s="254"/>
      <c r="AA68" s="254"/>
      <c r="AB68" s="254"/>
    </row>
    <row r="69" spans="1:28" s="31" customFormat="1" ht="19.5" customHeight="1">
      <c r="A69" s="487" t="s">
        <v>248</v>
      </c>
      <c r="B69" s="488"/>
      <c r="C69" s="488"/>
      <c r="D69" s="489"/>
      <c r="E69" s="420"/>
      <c r="F69" s="421"/>
      <c r="G69" s="249">
        <v>2000</v>
      </c>
      <c r="H69" s="250">
        <v>1</v>
      </c>
      <c r="I69" s="251"/>
      <c r="J69" s="79"/>
      <c r="K69" s="251"/>
      <c r="L69" s="252"/>
      <c r="N69" s="78"/>
      <c r="O69" s="36" t="s">
        <v>243</v>
      </c>
      <c r="P69" s="253"/>
      <c r="Q69" s="253"/>
      <c r="R69" s="253"/>
      <c r="S69" s="253"/>
      <c r="T69" s="253"/>
      <c r="U69" s="72"/>
      <c r="V69" s="72"/>
      <c r="W69" s="72"/>
      <c r="X69" s="72"/>
      <c r="Y69" s="5"/>
      <c r="Z69" s="254"/>
      <c r="AA69" s="254"/>
      <c r="AB69" s="254"/>
    </row>
    <row r="70" spans="1:28" s="31" customFormat="1" ht="19.5" customHeight="1">
      <c r="A70" s="487" t="s">
        <v>249</v>
      </c>
      <c r="B70" s="488"/>
      <c r="C70" s="488"/>
      <c r="D70" s="489"/>
      <c r="E70" s="420"/>
      <c r="F70" s="421"/>
      <c r="G70" s="249">
        <v>1000</v>
      </c>
      <c r="H70" s="250">
        <v>1</v>
      </c>
      <c r="I70" s="251"/>
      <c r="J70" s="79"/>
      <c r="K70" s="251"/>
      <c r="L70" s="252"/>
      <c r="N70" s="78"/>
      <c r="O70" s="36" t="s">
        <v>247</v>
      </c>
      <c r="P70" s="253"/>
      <c r="Q70" s="253"/>
      <c r="R70" s="253"/>
      <c r="S70" s="253"/>
      <c r="T70" s="253"/>
      <c r="U70" s="72"/>
      <c r="V70" s="72"/>
      <c r="W70" s="72"/>
      <c r="X70" s="72"/>
      <c r="Y70" s="5"/>
      <c r="Z70" s="254"/>
      <c r="AA70" s="254"/>
      <c r="AB70" s="254"/>
    </row>
    <row r="71" spans="1:28" s="31" customFormat="1" ht="19.5" customHeight="1">
      <c r="A71" s="487" t="s">
        <v>248</v>
      </c>
      <c r="B71" s="488"/>
      <c r="C71" s="488"/>
      <c r="D71" s="489"/>
      <c r="E71" s="420"/>
      <c r="F71" s="421"/>
      <c r="G71" s="249">
        <v>2000</v>
      </c>
      <c r="H71" s="250">
        <v>1</v>
      </c>
      <c r="I71" s="251"/>
      <c r="J71" s="79"/>
      <c r="K71" s="251"/>
      <c r="L71" s="252"/>
      <c r="N71" s="78"/>
      <c r="O71" s="36" t="s">
        <v>243</v>
      </c>
      <c r="P71" s="253"/>
      <c r="Q71" s="253"/>
      <c r="R71" s="253"/>
      <c r="S71" s="253"/>
      <c r="T71" s="253"/>
      <c r="U71" s="72"/>
      <c r="V71" s="72"/>
      <c r="W71" s="72"/>
      <c r="X71" s="72"/>
      <c r="Y71" s="5"/>
      <c r="Z71" s="254"/>
      <c r="AA71" s="254"/>
      <c r="AB71" s="254"/>
    </row>
    <row r="72" spans="1:28" s="31" customFormat="1" ht="19.5" customHeight="1">
      <c r="A72" s="487" t="s">
        <v>249</v>
      </c>
      <c r="B72" s="488"/>
      <c r="C72" s="488"/>
      <c r="D72" s="489"/>
      <c r="E72" s="420"/>
      <c r="F72" s="421"/>
      <c r="G72" s="249">
        <v>0</v>
      </c>
      <c r="H72" s="250">
        <v>1</v>
      </c>
      <c r="I72" s="251"/>
      <c r="J72" s="79"/>
      <c r="K72" s="251"/>
      <c r="L72" s="252"/>
      <c r="N72" s="78"/>
      <c r="O72" s="36" t="s">
        <v>247</v>
      </c>
      <c r="P72" s="253"/>
      <c r="Q72" s="253"/>
      <c r="R72" s="253"/>
      <c r="S72" s="253"/>
      <c r="T72" s="253"/>
      <c r="U72" s="72"/>
      <c r="V72" s="72"/>
      <c r="W72" s="72"/>
      <c r="X72" s="72"/>
      <c r="Y72" s="5"/>
      <c r="Z72" s="254"/>
      <c r="AA72" s="254"/>
      <c r="AB72" s="254"/>
    </row>
    <row r="73" spans="1:28" s="255" customFormat="1" ht="19.5" customHeight="1" thickBot="1">
      <c r="A73" s="497" t="s">
        <v>250</v>
      </c>
      <c r="B73" s="498"/>
      <c r="C73" s="498"/>
      <c r="D73" s="499"/>
      <c r="E73" s="500" t="e">
        <f>ROUND(((E64*F64+E65*F65+E72*F72+E66*F66+E67*F67+E68*F68+E69*F69+E70*F70+E71*F71)/F62),2)</f>
        <v>#DIV/0!</v>
      </c>
      <c r="F73" s="501"/>
      <c r="G73" s="502">
        <f>ROUND((((G64*H64/60)+G65*H65+G72*H72+G66*H66+G67*H67+G68*H68+G69*H69+G70*H70+G71*H71)/H62),2)</f>
        <v>333.33</v>
      </c>
      <c r="H73" s="503"/>
      <c r="I73" s="502" t="e">
        <f>ROUND((I64*J64+I65*J65+I72*J72)/J62,2)</f>
        <v>#DIV/0!</v>
      </c>
      <c r="J73" s="504"/>
      <c r="K73" s="502" t="e">
        <f>ROUND((K64*L64+K65*L65+K72*L72)/L62,2)</f>
        <v>#DIV/0!</v>
      </c>
      <c r="L73" s="505"/>
      <c r="N73" s="256"/>
      <c r="O73" s="36" t="s">
        <v>251</v>
      </c>
      <c r="P73" s="253"/>
      <c r="Q73" s="253"/>
      <c r="R73" s="253"/>
      <c r="S73" s="253"/>
      <c r="T73" s="253"/>
      <c r="U73" s="253"/>
      <c r="V73" s="253"/>
      <c r="W73" s="72"/>
      <c r="X73" s="72"/>
      <c r="Y73" s="5"/>
      <c r="Z73" s="254"/>
      <c r="AA73" s="254"/>
      <c r="AB73" s="254"/>
    </row>
    <row r="74" spans="1:28" s="255" customFormat="1" ht="19.5" customHeight="1" thickTop="1">
      <c r="A74" s="257" t="s">
        <v>172</v>
      </c>
      <c r="B74" s="506"/>
      <c r="C74" s="507"/>
      <c r="D74" s="258" t="str">
        <f>IF($D$27="","",$D$27)</f>
        <v>USD/pcs</v>
      </c>
      <c r="E74" s="161"/>
      <c r="F74" s="162"/>
      <c r="G74" s="161"/>
      <c r="H74" s="162"/>
      <c r="I74" s="161"/>
      <c r="J74" s="163"/>
      <c r="K74" s="161"/>
      <c r="L74" s="164"/>
      <c r="N74" s="256"/>
      <c r="O74" s="259" t="s">
        <v>252</v>
      </c>
      <c r="P74" s="260"/>
      <c r="Q74" s="260"/>
      <c r="R74" s="253"/>
      <c r="S74" s="253"/>
      <c r="T74" s="253"/>
      <c r="U74" s="253"/>
      <c r="V74" s="253"/>
      <c r="W74" s="72"/>
      <c r="X74" s="72"/>
      <c r="Y74" s="5"/>
      <c r="Z74" s="254"/>
      <c r="AA74" s="254"/>
      <c r="AB74" s="254"/>
    </row>
    <row r="75" spans="1:28" s="255" customFormat="1" ht="19.5" customHeight="1" thickBot="1">
      <c r="A75" s="261"/>
      <c r="B75" s="520"/>
      <c r="C75" s="521"/>
      <c r="D75" s="262" t="str">
        <f>IF($D$27="","",$D$27)</f>
        <v>USD/pcs</v>
      </c>
      <c r="E75" s="263"/>
      <c r="F75" s="264"/>
      <c r="G75" s="263"/>
      <c r="H75" s="264"/>
      <c r="I75" s="263"/>
      <c r="J75" s="265"/>
      <c r="K75" s="263"/>
      <c r="L75" s="266"/>
      <c r="N75" s="256"/>
      <c r="O75" s="259" t="s">
        <v>253</v>
      </c>
      <c r="P75" s="260"/>
      <c r="Q75" s="260"/>
      <c r="R75" s="260"/>
      <c r="S75" s="260"/>
      <c r="T75" s="260"/>
      <c r="U75" s="253"/>
      <c r="V75" s="253"/>
      <c r="W75" s="72"/>
      <c r="X75" s="72"/>
      <c r="Y75" s="5"/>
      <c r="Z75" s="3"/>
      <c r="AA75" s="3"/>
      <c r="AB75" s="6"/>
    </row>
    <row r="76" spans="1:28" s="255" customFormat="1" ht="19.5" customHeight="1" thickTop="1" thickBot="1">
      <c r="A76" s="522" t="s">
        <v>254</v>
      </c>
      <c r="B76" s="523"/>
      <c r="C76" s="523"/>
      <c r="D76" s="267" t="s">
        <v>255</v>
      </c>
      <c r="E76" s="495"/>
      <c r="F76" s="524"/>
      <c r="G76" s="495">
        <f>120*2*8*20</f>
        <v>38400</v>
      </c>
      <c r="H76" s="524"/>
      <c r="I76" s="495"/>
      <c r="J76" s="525"/>
      <c r="K76" s="495"/>
      <c r="L76" s="496"/>
      <c r="N76" s="256"/>
      <c r="O76" s="259" t="s">
        <v>256</v>
      </c>
      <c r="P76" s="3"/>
      <c r="Q76" s="3"/>
      <c r="R76" s="260"/>
      <c r="S76" s="260"/>
      <c r="T76" s="260"/>
      <c r="U76" s="260"/>
      <c r="V76" s="260"/>
      <c r="W76" s="72"/>
      <c r="X76" s="72"/>
      <c r="Y76" s="5"/>
      <c r="Z76" s="3"/>
      <c r="AA76" s="3"/>
      <c r="AB76" s="6"/>
    </row>
    <row r="77" spans="1:28" s="255" customFormat="1" ht="19.5" customHeight="1" thickTop="1">
      <c r="A77" s="508" t="s">
        <v>257</v>
      </c>
      <c r="B77" s="509"/>
      <c r="C77" s="268" t="s">
        <v>258</v>
      </c>
      <c r="D77" s="269"/>
      <c r="E77" s="270" t="s">
        <v>259</v>
      </c>
      <c r="F77" s="271"/>
      <c r="G77" s="270" t="s">
        <v>259</v>
      </c>
      <c r="H77" s="271"/>
      <c r="I77" s="272"/>
      <c r="J77" s="271"/>
      <c r="K77" s="272"/>
      <c r="L77" s="273"/>
      <c r="N77" s="256"/>
      <c r="O77" s="259" t="s">
        <v>260</v>
      </c>
      <c r="P77" s="3"/>
      <c r="Q77" s="3"/>
      <c r="R77" s="260"/>
      <c r="S77" s="260"/>
      <c r="T77" s="260"/>
      <c r="U77" s="260"/>
      <c r="V77" s="260"/>
      <c r="W77" s="72"/>
      <c r="X77" s="72"/>
      <c r="Y77" s="5"/>
      <c r="Z77" s="3"/>
      <c r="AA77" s="3"/>
      <c r="AB77" s="6"/>
    </row>
    <row r="78" spans="1:28" s="255" customFormat="1" ht="19.5" customHeight="1">
      <c r="A78" s="510"/>
      <c r="B78" s="511"/>
      <c r="C78" s="274" t="s">
        <v>106</v>
      </c>
      <c r="D78" s="275"/>
      <c r="E78" s="276" t="s">
        <v>42</v>
      </c>
      <c r="F78" s="277"/>
      <c r="G78" s="276" t="s">
        <v>42</v>
      </c>
      <c r="H78" s="277"/>
      <c r="I78" s="278"/>
      <c r="J78" s="277"/>
      <c r="K78" s="278"/>
      <c r="L78" s="279"/>
      <c r="N78" s="256"/>
      <c r="O78" s="259" t="s">
        <v>261</v>
      </c>
      <c r="P78" s="3"/>
      <c r="Q78" s="3"/>
      <c r="R78" s="260"/>
      <c r="S78" s="260"/>
      <c r="T78" s="260"/>
      <c r="U78" s="260"/>
      <c r="V78" s="260"/>
      <c r="W78" s="72"/>
      <c r="X78" s="72"/>
      <c r="Y78" s="5"/>
      <c r="Z78" s="3"/>
      <c r="AA78" s="3"/>
      <c r="AB78" s="6"/>
    </row>
    <row r="79" spans="1:28" s="255" customFormat="1" ht="19.5" customHeight="1">
      <c r="A79" s="510"/>
      <c r="B79" s="511"/>
      <c r="C79" s="274" t="s">
        <v>262</v>
      </c>
      <c r="D79" s="275"/>
      <c r="E79" s="276" t="s">
        <v>22</v>
      </c>
      <c r="F79" s="277"/>
      <c r="G79" s="276" t="s">
        <v>22</v>
      </c>
      <c r="H79" s="277"/>
      <c r="I79" s="278"/>
      <c r="J79" s="277"/>
      <c r="K79" s="278"/>
      <c r="L79" s="279"/>
      <c r="N79" s="256"/>
      <c r="O79" s="259" t="s">
        <v>263</v>
      </c>
      <c r="P79" s="3"/>
      <c r="Q79" s="3"/>
      <c r="R79" s="260"/>
      <c r="S79" s="260"/>
      <c r="T79" s="260"/>
      <c r="U79" s="260"/>
      <c r="V79" s="260"/>
      <c r="W79" s="72"/>
      <c r="X79" s="72"/>
      <c r="Y79" s="5"/>
      <c r="Z79" s="3"/>
      <c r="AA79" s="3"/>
      <c r="AB79" s="6"/>
    </row>
    <row r="80" spans="1:28" s="255" customFormat="1" ht="19.5" customHeight="1" thickBot="1">
      <c r="A80" s="510"/>
      <c r="B80" s="511"/>
      <c r="C80" s="280" t="s">
        <v>264</v>
      </c>
      <c r="D80" s="281"/>
      <c r="E80" s="282" t="s">
        <v>259</v>
      </c>
      <c r="F80" s="283"/>
      <c r="G80" s="282" t="s">
        <v>259</v>
      </c>
      <c r="H80" s="283"/>
      <c r="I80" s="284"/>
      <c r="J80" s="283"/>
      <c r="K80" s="284"/>
      <c r="L80" s="285"/>
      <c r="N80" s="256"/>
      <c r="O80" s="259" t="s">
        <v>265</v>
      </c>
      <c r="P80" s="3"/>
      <c r="Q80" s="3"/>
      <c r="R80" s="260"/>
      <c r="S80" s="260"/>
      <c r="T80" s="260"/>
      <c r="U80" s="260"/>
      <c r="V80" s="260"/>
      <c r="W80" s="72"/>
      <c r="X80" s="72"/>
      <c r="Y80" s="5"/>
      <c r="Z80" s="3"/>
      <c r="AA80" s="3"/>
      <c r="AB80" s="6"/>
    </row>
    <row r="81" spans="1:30" ht="19.5" customHeight="1" thickTop="1">
      <c r="A81" s="286" t="s">
        <v>264</v>
      </c>
      <c r="B81" s="512" t="s">
        <v>266</v>
      </c>
      <c r="C81" s="513"/>
      <c r="D81" s="514"/>
      <c r="E81" s="287" t="s">
        <v>267</v>
      </c>
      <c r="F81" s="424"/>
      <c r="G81" s="287" t="s">
        <v>267</v>
      </c>
      <c r="H81" s="288">
        <v>24</v>
      </c>
      <c r="I81" s="287"/>
      <c r="J81" s="289"/>
      <c r="K81" s="287"/>
      <c r="L81" s="290"/>
      <c r="N81" s="291"/>
      <c r="O81" s="259" t="s">
        <v>268</v>
      </c>
      <c r="U81" s="260"/>
      <c r="V81" s="260"/>
      <c r="W81" s="72"/>
      <c r="X81" s="72"/>
      <c r="Y81" s="5"/>
      <c r="AA81" s="3"/>
      <c r="AB81" s="6"/>
      <c r="AC81" s="4"/>
      <c r="AD81" s="4"/>
    </row>
    <row r="82" spans="1:30" ht="19.5" customHeight="1">
      <c r="A82" s="292" t="s">
        <v>269</v>
      </c>
      <c r="B82" s="293" t="s">
        <v>270</v>
      </c>
      <c r="C82" s="294" t="s">
        <v>271</v>
      </c>
      <c r="D82" s="295"/>
      <c r="E82" s="425" t="s">
        <v>272</v>
      </c>
      <c r="F82" s="297"/>
      <c r="G82" s="296" t="s">
        <v>272</v>
      </c>
      <c r="H82" s="297"/>
      <c r="I82" s="296"/>
      <c r="J82" s="298"/>
      <c r="K82" s="296"/>
      <c r="L82" s="299"/>
      <c r="N82" s="291"/>
      <c r="O82" s="259" t="s">
        <v>273</v>
      </c>
      <c r="W82" s="72"/>
      <c r="X82" s="72"/>
      <c r="Y82" s="5"/>
      <c r="AA82" s="3"/>
      <c r="AB82" s="6"/>
      <c r="AC82" s="4"/>
      <c r="AD82" s="4"/>
    </row>
    <row r="83" spans="1:30" ht="19.5" customHeight="1">
      <c r="A83" s="300"/>
      <c r="B83" s="293"/>
      <c r="C83" s="515"/>
      <c r="D83" s="516"/>
      <c r="E83" s="517"/>
      <c r="F83" s="518"/>
      <c r="G83" s="517"/>
      <c r="H83" s="518"/>
      <c r="I83" s="517"/>
      <c r="J83" s="519"/>
      <c r="K83" s="517"/>
      <c r="L83" s="536"/>
      <c r="W83" s="72"/>
      <c r="X83" s="253"/>
      <c r="Y83" s="37"/>
      <c r="AA83" s="3"/>
      <c r="AB83" s="6"/>
      <c r="AC83" s="4"/>
      <c r="AD83" s="4"/>
    </row>
    <row r="84" spans="1:30" ht="19.5" customHeight="1">
      <c r="A84" s="301"/>
      <c r="B84" s="293"/>
      <c r="C84" s="302" t="s">
        <v>274</v>
      </c>
      <c r="D84" s="303" t="s">
        <v>275</v>
      </c>
      <c r="E84" s="426"/>
      <c r="F84" s="427"/>
      <c r="G84" s="304" t="s">
        <v>276</v>
      </c>
      <c r="H84" s="305">
        <v>1</v>
      </c>
      <c r="I84" s="304"/>
      <c r="J84" s="306"/>
      <c r="K84" s="304"/>
      <c r="L84" s="307"/>
      <c r="W84" s="72"/>
      <c r="X84" s="253"/>
      <c r="Y84" s="37"/>
      <c r="AA84" s="3"/>
      <c r="AB84" s="6"/>
      <c r="AC84" s="4"/>
      <c r="AD84" s="4"/>
    </row>
    <row r="85" spans="1:30" ht="19.5" customHeight="1">
      <c r="A85" s="301"/>
      <c r="B85" s="293"/>
      <c r="C85" s="308" t="s">
        <v>277</v>
      </c>
      <c r="D85" s="309" t="s">
        <v>278</v>
      </c>
      <c r="E85" s="428"/>
      <c r="F85" s="429"/>
      <c r="G85" s="310">
        <v>1200000</v>
      </c>
      <c r="H85" s="311" t="s">
        <v>259</v>
      </c>
      <c r="I85" s="310"/>
      <c r="J85" s="312"/>
      <c r="K85" s="310"/>
      <c r="L85" s="313"/>
      <c r="W85" s="253"/>
      <c r="X85" s="253"/>
      <c r="Y85" s="37"/>
      <c r="AA85" s="3"/>
      <c r="AB85" s="6"/>
      <c r="AC85" s="4"/>
      <c r="AD85" s="4"/>
    </row>
    <row r="86" spans="1:30" ht="19.5" customHeight="1">
      <c r="A86" s="301"/>
      <c r="B86" s="293"/>
      <c r="C86" s="314" t="s">
        <v>279</v>
      </c>
      <c r="D86" s="315" t="s">
        <v>280</v>
      </c>
      <c r="E86" s="530"/>
      <c r="F86" s="531"/>
      <c r="G86" s="537">
        <v>37500</v>
      </c>
      <c r="H86" s="533"/>
      <c r="I86" s="537"/>
      <c r="J86" s="534"/>
      <c r="K86" s="537"/>
      <c r="L86" s="538"/>
      <c r="W86" s="253"/>
      <c r="Y86" s="37"/>
      <c r="AA86" s="3"/>
      <c r="AB86" s="6"/>
      <c r="AC86" s="4"/>
      <c r="AD86" s="4"/>
    </row>
    <row r="87" spans="1:30" ht="19.5" customHeight="1">
      <c r="A87" s="301"/>
      <c r="B87" s="294" t="s">
        <v>281</v>
      </c>
      <c r="C87" s="294" t="s">
        <v>271</v>
      </c>
      <c r="D87" s="295"/>
      <c r="E87" s="430"/>
      <c r="F87" s="317"/>
      <c r="G87" s="316"/>
      <c r="H87" s="317"/>
      <c r="I87" s="316"/>
      <c r="J87" s="318"/>
      <c r="K87" s="316"/>
      <c r="L87" s="319"/>
      <c r="W87" s="253"/>
      <c r="Y87" s="37"/>
      <c r="AA87" s="3"/>
      <c r="AB87" s="6"/>
      <c r="AC87" s="4"/>
      <c r="AD87" s="4"/>
    </row>
    <row r="88" spans="1:30" ht="19.5" customHeight="1">
      <c r="A88" s="301"/>
      <c r="B88" s="293"/>
      <c r="C88" s="515"/>
      <c r="D88" s="516"/>
      <c r="E88" s="517">
        <v>0</v>
      </c>
      <c r="F88" s="518"/>
      <c r="G88" s="517"/>
      <c r="H88" s="518"/>
      <c r="I88" s="517"/>
      <c r="J88" s="519"/>
      <c r="K88" s="517"/>
      <c r="L88" s="536"/>
      <c r="W88" s="260"/>
      <c r="Y88" s="37"/>
      <c r="AA88" s="3"/>
      <c r="AB88" s="6"/>
      <c r="AC88" s="4"/>
      <c r="AD88" s="4"/>
    </row>
    <row r="89" spans="1:30" ht="19.5" customHeight="1">
      <c r="A89" s="301"/>
      <c r="B89" s="293"/>
      <c r="C89" s="302" t="s">
        <v>274</v>
      </c>
      <c r="D89" s="303" t="s">
        <v>275</v>
      </c>
      <c r="E89" s="426"/>
      <c r="F89" s="427"/>
      <c r="G89" s="304"/>
      <c r="H89" s="305"/>
      <c r="I89" s="304"/>
      <c r="J89" s="306"/>
      <c r="K89" s="304"/>
      <c r="L89" s="307"/>
      <c r="W89" s="260"/>
      <c r="Y89" s="37"/>
      <c r="AA89" s="3"/>
      <c r="AB89" s="6"/>
      <c r="AC89" s="4"/>
      <c r="AD89" s="4"/>
    </row>
    <row r="90" spans="1:30" ht="19.5" customHeight="1">
      <c r="A90" s="301"/>
      <c r="B90" s="293"/>
      <c r="C90" s="308" t="s">
        <v>282</v>
      </c>
      <c r="D90" s="309" t="s">
        <v>278</v>
      </c>
      <c r="E90" s="428"/>
      <c r="F90" s="429"/>
      <c r="G90" s="310"/>
      <c r="H90" s="311"/>
      <c r="I90" s="310"/>
      <c r="J90" s="312"/>
      <c r="K90" s="310"/>
      <c r="L90" s="313"/>
      <c r="Y90" s="37"/>
      <c r="AA90" s="3"/>
      <c r="AB90" s="6"/>
      <c r="AC90" s="4"/>
      <c r="AD90" s="4"/>
    </row>
    <row r="91" spans="1:30" ht="19.5" customHeight="1">
      <c r="A91" s="301"/>
      <c r="B91" s="320"/>
      <c r="C91" s="314" t="s">
        <v>279</v>
      </c>
      <c r="D91" s="315" t="s">
        <v>280</v>
      </c>
      <c r="E91" s="545"/>
      <c r="F91" s="546"/>
      <c r="G91" s="526"/>
      <c r="H91" s="547"/>
      <c r="I91" s="526"/>
      <c r="J91" s="548"/>
      <c r="K91" s="526"/>
      <c r="L91" s="527"/>
      <c r="Y91" s="37"/>
      <c r="AA91" s="3"/>
      <c r="AB91" s="6"/>
      <c r="AC91" s="4"/>
      <c r="AD91" s="4"/>
    </row>
    <row r="92" spans="1:30" ht="19.5" customHeight="1">
      <c r="A92" s="301"/>
      <c r="B92" s="528" t="s">
        <v>283</v>
      </c>
      <c r="C92" s="529"/>
      <c r="D92" s="321"/>
      <c r="E92" s="530">
        <f>E86*F84+E91*F89</f>
        <v>0</v>
      </c>
      <c r="F92" s="531"/>
      <c r="G92" s="532">
        <f>G86*H84+G91*H89</f>
        <v>37500</v>
      </c>
      <c r="H92" s="533"/>
      <c r="I92" s="532">
        <f>I86*J84+I91*J89</f>
        <v>0</v>
      </c>
      <c r="J92" s="534"/>
      <c r="K92" s="532">
        <f>K86*L84+K91*L89</f>
        <v>0</v>
      </c>
      <c r="L92" s="535"/>
      <c r="Y92" s="37"/>
      <c r="AA92" s="3"/>
      <c r="AB92" s="6"/>
      <c r="AC92" s="4"/>
      <c r="AD92" s="4"/>
    </row>
    <row r="93" spans="1:30" ht="22.5" customHeight="1">
      <c r="A93" s="301"/>
      <c r="B93" s="529" t="s">
        <v>284</v>
      </c>
      <c r="C93" s="529"/>
      <c r="D93" s="322" t="str">
        <f t="shared" ref="D93:D101" si="1">IF($D$27="","",$D$27)</f>
        <v>USD/pcs</v>
      </c>
      <c r="E93" s="431">
        <f>IF(OR(E81="",E81="Non-amort"),0,IF(E92=0,0,ROUND(E92/E14/F81*1000,2)))</f>
        <v>0</v>
      </c>
      <c r="F93" s="432"/>
      <c r="G93" s="323">
        <f>IF(OR(G81="",G81="Non-amort"),0,IF(G92=0,0,ROUND(G92/G14/H81*1000,2)))</f>
        <v>97.66</v>
      </c>
      <c r="H93" s="324"/>
      <c r="I93" s="323">
        <f>IF(OR(I81="",I81=$T4),0,IF(I92=0,0,ROUND(I92/I14/J81*1000,2)))</f>
        <v>0</v>
      </c>
      <c r="J93" s="325"/>
      <c r="K93" s="323">
        <f>IF(OR(K81="",K81=$T4),0,IF(K92=0,0,ROUND(K92/K14/L81*1000,2)))</f>
        <v>0</v>
      </c>
      <c r="L93" s="326"/>
      <c r="Y93" s="5"/>
      <c r="AA93" s="3"/>
      <c r="AB93" s="6"/>
      <c r="AC93" s="4"/>
      <c r="AD93" s="4"/>
    </row>
    <row r="94" spans="1:30" ht="24" customHeight="1" thickBot="1">
      <c r="A94" s="539" t="s">
        <v>285</v>
      </c>
      <c r="B94" s="540"/>
      <c r="C94" s="540"/>
      <c r="D94" s="327" t="str">
        <f t="shared" si="1"/>
        <v>USD/pcs</v>
      </c>
      <c r="E94" s="328"/>
      <c r="F94" s="329"/>
      <c r="G94" s="328"/>
      <c r="H94" s="329"/>
      <c r="I94" s="328"/>
      <c r="J94" s="330"/>
      <c r="K94" s="328"/>
      <c r="L94" s="331"/>
      <c r="U94" s="4"/>
      <c r="V94" s="4"/>
      <c r="Y94" s="5"/>
      <c r="AA94" s="3"/>
      <c r="AB94" s="6"/>
      <c r="AC94" s="4"/>
      <c r="AD94" s="4"/>
    </row>
    <row r="95" spans="1:30" ht="24" customHeight="1" thickTop="1" thickBot="1">
      <c r="A95" s="541" t="s">
        <v>286</v>
      </c>
      <c r="B95" s="542"/>
      <c r="C95" s="542"/>
      <c r="D95" s="332" t="str">
        <f t="shared" si="1"/>
        <v>USD/pcs</v>
      </c>
      <c r="E95" s="543" t="e">
        <f>SUM(E30,E56,E60,E93,E74,E73,E75,E94)</f>
        <v>#DIV/0!</v>
      </c>
      <c r="F95" s="544"/>
      <c r="G95" s="543">
        <f>SUM(G30,G56,G60,G93,G74,G73,G75,G94)</f>
        <v>589.86950000000002</v>
      </c>
      <c r="H95" s="544"/>
      <c r="I95" s="543" t="e">
        <f>SUM(I30,I56,I60,I93,I74,I73,I75,I94)</f>
        <v>#DIV/0!</v>
      </c>
      <c r="J95" s="544"/>
      <c r="K95" s="543" t="e">
        <f>SUM(K30,K56,K60,K93,K74,K73,K75,K94)</f>
        <v>#DIV/0!</v>
      </c>
      <c r="L95" s="549"/>
      <c r="O95" s="4"/>
      <c r="Y95" s="5"/>
      <c r="AA95" s="3"/>
      <c r="AB95" s="6"/>
      <c r="AC95" s="4"/>
      <c r="AD95" s="4"/>
    </row>
    <row r="96" spans="1:30" ht="21" customHeight="1" thickTop="1">
      <c r="A96" s="550" t="s">
        <v>287</v>
      </c>
      <c r="B96" s="551"/>
      <c r="C96" s="551"/>
      <c r="D96" s="333" t="str">
        <f t="shared" si="1"/>
        <v>USD/pcs</v>
      </c>
      <c r="E96" s="334"/>
      <c r="F96" s="335"/>
      <c r="G96" s="334"/>
      <c r="H96" s="335"/>
      <c r="I96" s="334"/>
      <c r="J96" s="336"/>
      <c r="K96" s="334"/>
      <c r="L96" s="337"/>
      <c r="O96" s="4"/>
      <c r="Y96" s="5"/>
      <c r="AA96" s="3"/>
      <c r="AB96" s="6"/>
      <c r="AC96" s="4"/>
      <c r="AD96" s="4"/>
    </row>
    <row r="97" spans="1:30" ht="21" customHeight="1">
      <c r="A97" s="550" t="s">
        <v>288</v>
      </c>
      <c r="B97" s="551"/>
      <c r="C97" s="551"/>
      <c r="D97" s="333" t="str">
        <f t="shared" si="1"/>
        <v>USD/pcs</v>
      </c>
      <c r="E97" s="338"/>
      <c r="F97" s="339"/>
      <c r="G97" s="338"/>
      <c r="H97" s="339"/>
      <c r="I97" s="338"/>
      <c r="J97" s="340"/>
      <c r="K97" s="338"/>
      <c r="L97" s="341"/>
      <c r="O97" s="4"/>
      <c r="P97" s="4"/>
      <c r="Q97" s="4"/>
      <c r="R97" s="6"/>
      <c r="U97" s="4"/>
      <c r="V97" s="4"/>
      <c r="W97" s="6"/>
      <c r="X97" s="4"/>
      <c r="Y97" s="4"/>
      <c r="Z97" s="4"/>
      <c r="AA97" s="4"/>
      <c r="AB97" s="4"/>
      <c r="AC97" s="4"/>
      <c r="AD97" s="4"/>
    </row>
    <row r="98" spans="1:30" ht="20.25" customHeight="1">
      <c r="A98" s="550"/>
      <c r="B98" s="551"/>
      <c r="C98" s="551"/>
      <c r="D98" s="333" t="str">
        <f t="shared" si="1"/>
        <v>USD/pcs</v>
      </c>
      <c r="E98" s="161"/>
      <c r="F98" s="342"/>
      <c r="G98" s="161"/>
      <c r="H98" s="342"/>
      <c r="I98" s="161"/>
      <c r="J98" s="343"/>
      <c r="K98" s="161"/>
      <c r="L98" s="344"/>
      <c r="O98" s="4"/>
      <c r="P98" s="4"/>
      <c r="Q98" s="4"/>
      <c r="R98" s="4"/>
      <c r="S98" s="6"/>
      <c r="W98" s="4"/>
      <c r="X98" s="6"/>
      <c r="Y98" s="4"/>
      <c r="Z98" s="4"/>
      <c r="AA98" s="4"/>
      <c r="AB98" s="4"/>
      <c r="AC98" s="4"/>
      <c r="AD98" s="4"/>
    </row>
    <row r="99" spans="1:30" ht="19.5" customHeight="1" thickBot="1">
      <c r="A99" s="550"/>
      <c r="B99" s="551"/>
      <c r="C99" s="551"/>
      <c r="D99" s="333" t="str">
        <f t="shared" si="1"/>
        <v>USD/pcs</v>
      </c>
      <c r="E99" s="345"/>
      <c r="F99" s="346"/>
      <c r="G99" s="345"/>
      <c r="H99" s="346"/>
      <c r="I99" s="345"/>
      <c r="J99" s="347"/>
      <c r="K99" s="345"/>
      <c r="L99" s="348"/>
      <c r="O99" s="4"/>
      <c r="P99" s="4"/>
      <c r="Q99" s="4"/>
      <c r="R99" s="4"/>
      <c r="S99" s="6"/>
      <c r="W99" s="4"/>
      <c r="X99" s="6"/>
      <c r="Y99" s="4"/>
      <c r="Z99" s="4"/>
      <c r="AA99" s="4"/>
      <c r="AB99" s="4"/>
      <c r="AC99" s="4"/>
      <c r="AD99" s="4"/>
    </row>
    <row r="100" spans="1:30" ht="19.5" customHeight="1" thickTop="1" thickBot="1">
      <c r="A100" s="522" t="s">
        <v>289</v>
      </c>
      <c r="B100" s="523"/>
      <c r="C100" s="523"/>
      <c r="D100" s="332" t="str">
        <f t="shared" si="1"/>
        <v>USD/pcs</v>
      </c>
      <c r="E100" s="543" t="e">
        <f>SUM(E95:F99)</f>
        <v>#DIV/0!</v>
      </c>
      <c r="F100" s="544"/>
      <c r="G100" s="543">
        <f>SUM(G95:H99)</f>
        <v>589.86950000000002</v>
      </c>
      <c r="H100" s="544"/>
      <c r="I100" s="552" t="e">
        <f>SUM(I95:J99)</f>
        <v>#DIV/0!</v>
      </c>
      <c r="J100" s="544"/>
      <c r="K100" s="543" t="e">
        <f>SUM(K95:L99)</f>
        <v>#DIV/0!</v>
      </c>
      <c r="L100" s="549"/>
      <c r="O100" s="4"/>
      <c r="P100" s="4"/>
      <c r="Q100" s="4"/>
      <c r="R100" s="4"/>
      <c r="S100" s="6"/>
      <c r="W100" s="4"/>
      <c r="X100" s="6"/>
      <c r="Y100" s="4"/>
      <c r="Z100" s="4"/>
      <c r="AA100" s="4"/>
      <c r="AB100" s="4"/>
      <c r="AC100" s="4"/>
      <c r="AD100" s="4"/>
    </row>
    <row r="101" spans="1:30" ht="19.5" customHeight="1" thickTop="1" thickBot="1">
      <c r="A101" s="560" t="s">
        <v>290</v>
      </c>
      <c r="B101" s="561"/>
      <c r="C101" s="561"/>
      <c r="D101" s="349" t="str">
        <f t="shared" si="1"/>
        <v>USD/pcs</v>
      </c>
      <c r="E101" s="350">
        <v>10</v>
      </c>
      <c r="F101" s="351"/>
      <c r="G101" s="350">
        <v>10</v>
      </c>
      <c r="H101" s="351"/>
      <c r="I101" s="350" t="str">
        <f>IF(J101="","",ROUND(I100*J101,2))</f>
        <v/>
      </c>
      <c r="J101" s="351"/>
      <c r="K101" s="350" t="str">
        <f>IF(L101="","",ROUND(K100*L101,2))</f>
        <v/>
      </c>
      <c r="L101" s="352"/>
      <c r="O101" s="4"/>
      <c r="P101" s="4"/>
      <c r="Q101" s="4"/>
      <c r="R101" s="4"/>
      <c r="S101" s="6"/>
      <c r="W101" s="4"/>
      <c r="X101" s="6"/>
      <c r="Y101" s="4"/>
      <c r="Z101" s="4"/>
      <c r="AA101" s="4"/>
      <c r="AB101" s="4"/>
      <c r="AC101" s="4"/>
      <c r="AD101" s="4"/>
    </row>
    <row r="102" spans="1:30" ht="19.5" customHeight="1" thickTop="1">
      <c r="A102" s="562" t="s">
        <v>291</v>
      </c>
      <c r="B102" s="563"/>
      <c r="C102" s="564"/>
      <c r="D102" s="353" t="s">
        <v>292</v>
      </c>
      <c r="E102" s="354" t="s">
        <v>293</v>
      </c>
      <c r="F102" s="355"/>
      <c r="G102" s="354" t="s">
        <v>293</v>
      </c>
      <c r="H102" s="355"/>
      <c r="I102" s="354"/>
      <c r="J102" s="355"/>
      <c r="K102" s="354"/>
      <c r="L102" s="356"/>
      <c r="P102" s="4"/>
      <c r="Q102" s="4"/>
      <c r="R102" s="4"/>
      <c r="S102" s="6"/>
      <c r="Z102" s="4"/>
      <c r="AA102" s="4"/>
      <c r="AB102" s="4"/>
      <c r="AC102" s="4"/>
      <c r="AD102" s="4"/>
    </row>
    <row r="103" spans="1:30" ht="19.5" customHeight="1">
      <c r="A103" s="565"/>
      <c r="B103" s="566"/>
      <c r="C103" s="567"/>
      <c r="D103" s="357" t="str">
        <f>IF($D$27="","",$D$27)</f>
        <v>USD/pcs</v>
      </c>
      <c r="E103" s="568" t="e">
        <f>SUM(E100:E101)</f>
        <v>#DIV/0!</v>
      </c>
      <c r="F103" s="569"/>
      <c r="G103" s="568">
        <f>SUM(G100:G101)</f>
        <v>599.86950000000002</v>
      </c>
      <c r="H103" s="569"/>
      <c r="I103" s="568" t="e">
        <f>SUM(I100:I101)</f>
        <v>#DIV/0!</v>
      </c>
      <c r="J103" s="569"/>
      <c r="K103" s="568" t="e">
        <f>SUM(K100:K101)</f>
        <v>#DIV/0!</v>
      </c>
      <c r="L103" s="570"/>
      <c r="P103" s="4"/>
      <c r="Q103" s="4"/>
      <c r="R103" s="4"/>
      <c r="S103" s="6"/>
      <c r="Z103" s="4"/>
      <c r="AA103" s="4"/>
      <c r="AB103" s="4"/>
      <c r="AC103" s="4"/>
      <c r="AD103" s="4"/>
    </row>
    <row r="104" spans="1:30" ht="19.5" customHeight="1" thickBot="1">
      <c r="A104" s="553" t="s">
        <v>294</v>
      </c>
      <c r="B104" s="554"/>
      <c r="C104" s="554"/>
      <c r="D104" s="358" t="s">
        <v>295</v>
      </c>
      <c r="E104" s="359"/>
      <c r="F104" s="360"/>
      <c r="G104" s="359"/>
      <c r="H104" s="360"/>
      <c r="I104" s="359"/>
      <c r="J104" s="360"/>
      <c r="K104" s="359"/>
      <c r="L104" s="361"/>
      <c r="Z104" s="5"/>
      <c r="AA104" s="3"/>
      <c r="AC104" s="6"/>
      <c r="AD104" s="4"/>
    </row>
    <row r="105" spans="1:30" ht="20.25" customHeight="1" thickTop="1">
      <c r="A105" s="555" t="s">
        <v>296</v>
      </c>
      <c r="B105" s="556"/>
      <c r="C105" s="556"/>
      <c r="D105" s="556"/>
      <c r="E105" s="557" t="s">
        <v>297</v>
      </c>
      <c r="F105" s="558"/>
      <c r="G105" s="557" t="s">
        <v>297</v>
      </c>
      <c r="H105" s="558"/>
      <c r="I105" s="557"/>
      <c r="J105" s="558"/>
      <c r="K105" s="557"/>
      <c r="L105" s="559"/>
    </row>
    <row r="106" spans="1:30">
      <c r="A106" s="577" t="s">
        <v>298</v>
      </c>
      <c r="B106" s="578"/>
      <c r="C106" s="578"/>
      <c r="D106" s="578"/>
      <c r="E106" s="579">
        <v>41377</v>
      </c>
      <c r="F106" s="579"/>
      <c r="G106" s="579">
        <v>41377</v>
      </c>
      <c r="H106" s="579"/>
      <c r="I106" s="580"/>
      <c r="J106" s="581"/>
      <c r="K106" s="580"/>
      <c r="L106" s="582"/>
      <c r="X106" s="6"/>
      <c r="Y106" s="6"/>
    </row>
    <row r="107" spans="1:30" ht="18" thickBot="1">
      <c r="A107" s="583" t="s">
        <v>299</v>
      </c>
      <c r="B107" s="584"/>
      <c r="C107" s="584"/>
      <c r="D107" s="584"/>
      <c r="E107" s="585">
        <v>41377</v>
      </c>
      <c r="F107" s="585"/>
      <c r="G107" s="585">
        <v>41377</v>
      </c>
      <c r="H107" s="585"/>
      <c r="I107" s="586"/>
      <c r="J107" s="587"/>
      <c r="K107" s="586"/>
      <c r="L107" s="588"/>
      <c r="X107" s="6"/>
      <c r="Y107" s="6"/>
    </row>
    <row r="108" spans="1:30" ht="99" customHeight="1" thickTop="1" thickBot="1">
      <c r="A108" s="571" t="s">
        <v>300</v>
      </c>
      <c r="B108" s="572"/>
      <c r="C108" s="572"/>
      <c r="D108" s="573"/>
      <c r="E108" s="574"/>
      <c r="F108" s="575"/>
      <c r="G108" s="574"/>
      <c r="H108" s="575"/>
      <c r="I108" s="574"/>
      <c r="J108" s="575"/>
      <c r="K108" s="574"/>
      <c r="L108" s="576"/>
      <c r="X108" s="6"/>
      <c r="Y108" s="6"/>
    </row>
    <row r="109" spans="1:30" ht="20.25" customHeight="1" thickTop="1">
      <c r="Z109" s="4"/>
    </row>
    <row r="110" spans="1:30" ht="21.75" customHeight="1">
      <c r="Z110" s="4"/>
    </row>
    <row r="111" spans="1:30" ht="21.75" customHeight="1"/>
  </sheetData>
  <mergeCells count="128">
    <mergeCell ref="A108:D108"/>
    <mergeCell ref="E108:F108"/>
    <mergeCell ref="G108:H108"/>
    <mergeCell ref="I108:J108"/>
    <mergeCell ref="K108:L108"/>
    <mergeCell ref="A106:D106"/>
    <mergeCell ref="E106:F106"/>
    <mergeCell ref="G106:H106"/>
    <mergeCell ref="I106:J106"/>
    <mergeCell ref="K106:L106"/>
    <mergeCell ref="A107:D107"/>
    <mergeCell ref="E107:F107"/>
    <mergeCell ref="G107:H107"/>
    <mergeCell ref="I107:J107"/>
    <mergeCell ref="K107:L107"/>
    <mergeCell ref="A104:C104"/>
    <mergeCell ref="A105:D105"/>
    <mergeCell ref="E105:F105"/>
    <mergeCell ref="G105:H105"/>
    <mergeCell ref="I105:J105"/>
    <mergeCell ref="K105:L105"/>
    <mergeCell ref="A101:C101"/>
    <mergeCell ref="A102:C103"/>
    <mergeCell ref="E103:F103"/>
    <mergeCell ref="G103:H103"/>
    <mergeCell ref="I103:J103"/>
    <mergeCell ref="K103:L103"/>
    <mergeCell ref="K95:L95"/>
    <mergeCell ref="A96:C96"/>
    <mergeCell ref="A97:C97"/>
    <mergeCell ref="A98:C98"/>
    <mergeCell ref="A99:C99"/>
    <mergeCell ref="A100:C100"/>
    <mergeCell ref="E100:F100"/>
    <mergeCell ref="G100:H100"/>
    <mergeCell ref="I100:J100"/>
    <mergeCell ref="K100:L100"/>
    <mergeCell ref="B93:C93"/>
    <mergeCell ref="A94:C94"/>
    <mergeCell ref="A95:C95"/>
    <mergeCell ref="E95:F95"/>
    <mergeCell ref="G95:H95"/>
    <mergeCell ref="I95:J95"/>
    <mergeCell ref="E91:F91"/>
    <mergeCell ref="G91:H91"/>
    <mergeCell ref="I91:J91"/>
    <mergeCell ref="K91:L91"/>
    <mergeCell ref="B92:C92"/>
    <mergeCell ref="E92:F92"/>
    <mergeCell ref="G92:H92"/>
    <mergeCell ref="I92:J92"/>
    <mergeCell ref="K92:L92"/>
    <mergeCell ref="K83:L83"/>
    <mergeCell ref="E86:F86"/>
    <mergeCell ref="G86:H86"/>
    <mergeCell ref="I86:J86"/>
    <mergeCell ref="K86:L86"/>
    <mergeCell ref="C88:D88"/>
    <mergeCell ref="E88:F88"/>
    <mergeCell ref="G88:H88"/>
    <mergeCell ref="I88:J88"/>
    <mergeCell ref="K88:L88"/>
    <mergeCell ref="A77:B80"/>
    <mergeCell ref="B81:D81"/>
    <mergeCell ref="C83:D83"/>
    <mergeCell ref="E83:F83"/>
    <mergeCell ref="G83:H83"/>
    <mergeCell ref="I83:J83"/>
    <mergeCell ref="B75:C75"/>
    <mergeCell ref="A76:C76"/>
    <mergeCell ref="E76:F76"/>
    <mergeCell ref="G76:H76"/>
    <mergeCell ref="I76:J76"/>
    <mergeCell ref="K76:L76"/>
    <mergeCell ref="A73:D73"/>
    <mergeCell ref="E73:F73"/>
    <mergeCell ref="G73:H73"/>
    <mergeCell ref="I73:J73"/>
    <mergeCell ref="K73:L73"/>
    <mergeCell ref="B74:C74"/>
    <mergeCell ref="A67:D67"/>
    <mergeCell ref="A68:D68"/>
    <mergeCell ref="A69:D69"/>
    <mergeCell ref="A70:D70"/>
    <mergeCell ref="A71:D71"/>
    <mergeCell ref="A72:D72"/>
    <mergeCell ref="K61:L61"/>
    <mergeCell ref="B62:D62"/>
    <mergeCell ref="A63:C63"/>
    <mergeCell ref="A64:D64"/>
    <mergeCell ref="A65:D65"/>
    <mergeCell ref="A66:D66"/>
    <mergeCell ref="B59:C59"/>
    <mergeCell ref="B60:C60"/>
    <mergeCell ref="B61:C61"/>
    <mergeCell ref="E61:F61"/>
    <mergeCell ref="G61:H61"/>
    <mergeCell ref="I61:J61"/>
    <mergeCell ref="A57:A58"/>
    <mergeCell ref="B57:C57"/>
    <mergeCell ref="B58:C58"/>
    <mergeCell ref="A13:D13"/>
    <mergeCell ref="A14:C14"/>
    <mergeCell ref="A15:D15"/>
    <mergeCell ref="E22:F22"/>
    <mergeCell ref="G22:H22"/>
    <mergeCell ref="I22:J22"/>
    <mergeCell ref="A12:D12"/>
    <mergeCell ref="E12:F12"/>
    <mergeCell ref="G12:H12"/>
    <mergeCell ref="I12:J12"/>
    <mergeCell ref="K12:L12"/>
    <mergeCell ref="K22:L22"/>
    <mergeCell ref="B30:C30"/>
    <mergeCell ref="B31:D31"/>
    <mergeCell ref="B56:C56"/>
    <mergeCell ref="K2:L2"/>
    <mergeCell ref="B7:D7"/>
    <mergeCell ref="A9:D9"/>
    <mergeCell ref="E9:F9"/>
    <mergeCell ref="G9:H9"/>
    <mergeCell ref="I9:J9"/>
    <mergeCell ref="K9:L9"/>
    <mergeCell ref="A10:D10"/>
    <mergeCell ref="E10:F10"/>
    <mergeCell ref="G10:H10"/>
    <mergeCell ref="I10:J10"/>
    <mergeCell ref="K10:L10"/>
  </mergeCells>
  <dataValidations count="75">
    <dataValidation allowBlank="1" showInputMessage="1" showErrorMessage="1" promptTitle="MB配合比率" prompt="マスターバッチを使用の際にはマスターバッチと原材料の配合比率を記載ください" sqref="I20:L20"/>
    <dataValidation imeMode="halfAlpha" allowBlank="1" showInputMessage="1" showErrorMessage="1" promptTitle="カートンサイズ" prompt="外装のカートンサイズを入力して下さい_x000a_縦*横*高さ" sqref="I61:L61"/>
    <dataValidation allowBlank="1" showInputMessage="1" showErrorMessage="1" promptTitle="通信欄" prompt="コメントのある場合はこちらに入力して下さい" sqref="E108:L108"/>
    <dataValidation imeMode="halfAlpha" allowBlank="1" showInputMessage="1" showErrorMessage="1" promptTitle="型完予定日" prompt="引合見積の場合は、型完予定日を必ず入力して下さい" sqref="E105:L105"/>
    <dataValidation imeMode="halfAlpha" allowBlank="1" showInputMessage="1" showErrorMessage="1" promptTitle="初品サンプル到着可能日" prompt="引合見積の場合は、初品サンプル到着可能日を必ず入力して下さい。" sqref="E106:L107"/>
    <dataValidation imeMode="halfAlpha" allowBlank="1" showInputMessage="1" showErrorMessage="1" promptTitle="部品品番" prompt="部品品番を入力して下さい。(半角英数)" sqref="I10:L11"/>
    <dataValidation allowBlank="1" showInputMessage="1" showErrorMessage="1" promptTitle="材質" prompt="材質名を入力して下さい" sqref="I17:L17"/>
    <dataValidation imeMode="halfAlpha" allowBlank="1" showInputMessage="1" showErrorMessage="1" promptTitle="共用・流用部品品番の入力" prompt="金型もしくは治具を共用・流用する場合、共用する部品もしくは流用元になる部品の品番を入力して下さい（半角英数)" sqref="E88:L88 I83:L83"/>
    <dataValidation allowBlank="1" showInputMessage="1" showErrorMessage="1" promptTitle="グレード" prompt="材料のグレードを入力して下さい_x000a_（例）_x000a_J750HP、CJ918" sqref="F18 H18:L18"/>
    <dataValidation allowBlank="1" showInputMessage="1" showErrorMessage="1" promptTitle="材料コード" prompt="支給材の使用時には材料コードを記載下さい" sqref="F19 H19:L19"/>
    <dataValidation allowBlank="1" showInputMessage="1" showErrorMessage="1" promptTitle="Amort month" prompt="Plz fill in amort month_x000a_EX  Amort month is 2 years → &quot; 24 &quot;" sqref="F81 H81"/>
    <dataValidation type="list" allowBlank="1" showInputMessage="1" showErrorMessage="1" promptTitle="Tooling fee payment method" prompt="Plz choose from pull-down._x000a_If &quot;Amort/month&quot;, plz fill in amort month next cell." sqref="E81 G81">
      <formula1>$T$4:$T$5</formula1>
    </dataValidation>
    <dataValidation imeMode="halfAlpha" allowBlank="1" showInputMessage="1" showErrorMessage="1" promptTitle="4M" prompt="Plz fill in country." sqref="E77:E80 G77:G80"/>
    <dataValidation imeMode="halfAlpha" allowBlank="1" showInputMessage="1" showErrorMessage="1" promptTitle="Max. capacity /montly" prompt="Plz fill-in Max. capacity by each part._x000a_EX_x000a_Production out-put /hour : 120 pcs._x000a_2 shift  : 16 hours/per day._x000a_No, of operating days/month : 20 days_x000a_120 pcs ×16 hours × 20 days = 38,400 pcs/month" sqref="E76:H76"/>
    <dataValidation imeMode="halfAlpha" allowBlank="1" showInputMessage="1" showErrorMessage="1" promptTitle="Qty in inner package" prompt="Plz fill in qty in inner package_x000a_EX  if 10 pcs/inner package ,4 inner packages/carton_x000a_→　40" sqref="F62 H62"/>
    <dataValidation imeMode="halfAlpha" allowBlank="1" showInputMessage="1" showErrorMessage="1" promptTitle="Qty in inner package" prompt="Plz fill in qty in inner package_x000a_EX  if 10 pcs/inner package ,4 inner packages/carton_x000a_→　&quot; 10 &quot;" sqref="E62 G62"/>
    <dataValidation imeMode="halfAlpha" allowBlank="1" showInputMessage="1" showErrorMessage="1" promptTitle="Box size" prompt="Plz fill in box size ( L*W*H )_x000a_EX 530*380*380" sqref="E61:H61"/>
    <dataValidation allowBlank="1" showInputMessage="1" showErrorMessage="1" promptTitle="Overhead rate" prompt="Plz fill in process overhead rate." sqref="E58 G58"/>
    <dataValidation allowBlank="1" showInputMessage="1" showErrorMessage="1" promptTitle="Overhead rate" prompt="Plz fill in material overhead rate." sqref="E57 G57"/>
    <dataValidation allowBlank="1" showInputMessage="1" showErrorMessage="1" promptTitle="Machine name" prompt="Plz fill in machine type_x000a_EX 150ton" sqref="F32 H32"/>
    <dataValidation allowBlank="1" showInputMessage="1" showErrorMessage="1" promptTitle="Process detail" prompt="Plz fill in process name_x000a_EX Injection  ,Inspection ,Packing" sqref="E32 G32"/>
    <dataValidation imeMode="off" allowBlank="1" showInputMessage="1" showErrorMessage="1" promptTitle="Size" prompt="Plz fill in material size_x000a_T*W*Pitch" sqref="E22:H22"/>
    <dataValidation type="list" allowBlank="1" showInputMessage="1" showErrorMessage="1" promptTitle="Color" prompt="Plz choose from pull-down." sqref="E21 G21">
      <formula1>$R$4:$R$18</formula1>
    </dataValidation>
    <dataValidation allowBlank="1" showInputMessage="1" showErrorMessage="1" promptTitle="MB %" prompt="Plz fill in &quot; % &quot; of master batch if MB used." sqref="E20:H20"/>
    <dataValidation allowBlank="1" showInputMessage="1" showErrorMessage="1" promptTitle="Material grade" prompt="Plz fill in material grade_x000a_EX_x000a_J750HP、CJ918" sqref="E18 G18"/>
    <dataValidation allowBlank="1" showInputMessage="1" showErrorMessage="1" promptTitle="Master batch" sqref="F17 H17"/>
    <dataValidation allowBlank="1" showInputMessage="1" showErrorMessage="1" promptTitle="Material" prompt="Plz fill in material name" sqref="E17 G17"/>
    <dataValidation allowBlank="1" showInputMessage="1" showErrorMessage="1" promptTitle="Currency" prompt="Plz fill in currecy rate" sqref="F15 H15"/>
    <dataValidation type="list" allowBlank="1" showInputMessage="1" showErrorMessage="1" promptTitle="Currency" prompt="Plz choose from pull-down" sqref="E15 G15">
      <formula1>$S$4:$S$14</formula1>
    </dataValidation>
    <dataValidation imeMode="halfAlpha" allowBlank="1" showInputMessage="1" showErrorMessage="1" promptTitle="Quotation production Vol" prompt="Plz fill in quotation production Vol." sqref="E14 G14"/>
    <dataValidation type="list" allowBlank="1" showInputMessage="1" showErrorMessage="1" promptTitle="Delivery place" prompt="plz choose from pull-down" sqref="E13 G13">
      <formula1>$O$4:$O$44</formula1>
    </dataValidation>
    <dataValidation imeMode="halfAlpha" allowBlank="1" showInputMessage="1" showErrorMessage="1" promptTitle="Part number" prompt="Plz fill-in part number" sqref="E10:H11"/>
    <dataValidation imeMode="halfAlpha" allowBlank="1" showInputMessage="1" showErrorMessage="1" promptTitle="Ctrl No." prompt="Plz fill in Ctrl No. " sqref="E9:H9"/>
    <dataValidation type="list" allowBlank="1" showInputMessage="1" showErrorMessage="1" sqref="D27">
      <formula1>"USD/pcs,USD/1000,IDN/pcs,IDN/1000,ZAR/pcs,ZAR/1000,INR/pcs,INR/1000,ARS/pcs,ARS/1000"</formula1>
    </dataValidation>
    <dataValidation imeMode="halfAlpha" allowBlank="1" showInputMessage="1" showErrorMessage="1" sqref="J28:J29 L84:L85 K29 J84:J85 L59 F28:F29 L89:L90 F84 I29 F59 E91:L91 F89 J89:J90 J59 L28:L29 H28:H29 H84 H59 H89 L4"/>
    <dataValidation allowBlank="1" showInputMessage="1" showErrorMessage="1" promptTitle="㊟" prompt="計算式が入っています" sqref="K27 I27"/>
    <dataValidation allowBlank="1" showInputMessage="1" showErrorMessage="1" promptTitle="㊟" prompt="数式が入っています" sqref="J57:J58 E92:E93 I92:I93 K92:K93 K56 K60 I60 I56 L57:L58 G92:G93"/>
    <dataValidation imeMode="halfAlpha" allowBlank="1" showInputMessage="1" showErrorMessage="1" promptTitle="㊟" prompt="数式が入っています_x000a_左隣のセルに税率（％）を入力して下さい" sqref="I101 E101 K101 G101"/>
    <dataValidation imeMode="off" allowBlank="1" showInputMessage="1" showErrorMessage="1" sqref="F101 J101 L101 E23:L26 H101"/>
    <dataValidation imeMode="off" allowBlank="1" showInputMessage="1" showErrorMessage="1" promptTitle="サイズ" prompt="材料サイズを入力して下さい（板厚*材料幅*ピッチ）" sqref="I22 K22"/>
    <dataValidation imeMode="halfAlpha" allowBlank="1" showInputMessage="1" showErrorMessage="1" promptTitle="内装数" prompt="内装数を入力して下さい_x000a_(例)1袋にバラ入れで10個、ダンボールに4袋の場合_x000a_→&quot;10&quot;" sqref="K62 I62"/>
    <dataValidation allowBlank="1" showInputMessage="1" showErrorMessage="1" promptTitle="配賦率の入力" prompt="配賦率を半角数字で入力して下さい" sqref="K57:K59 I57:I59"/>
    <dataValidation allowBlank="1" showInputMessage="1" showErrorMessage="1" promptTitle="管理費を計上する「その他」項目の入力" prompt="管理費を計上する項目がある場合は、このセルに項目名、左側の_x000a_セルに金額を入力して下さい。" sqref="C28"/>
    <dataValidation allowBlank="1" showInputMessage="1" showErrorMessage="1" promptTitle="管理費を計上しない「その他」項目の入力" prompt="管理費を計上しないその他の項目は、右のセルに項目名を入力し、こ_x000a_のセルに金額を入力してください。" sqref="K74 I74"/>
    <dataValidation allowBlank="1" showInputMessage="1" showErrorMessage="1" promptTitle="「その他」" prompt="材料費の中で、直接材料費以外の項目で管理費を計上するものはこちらの欄に入力して下さい。_x000a_管理費を計上しない項目は、下の「その他」項目へ入力して下さい。" sqref="B28"/>
    <dataValidation allowBlank="1" showInputMessage="1" showErrorMessage="1" promptTitle="直接材料の入力" prompt="材料名・材料単価・正味重量・ロス込重量を入力して下さい。_x000a_「直接材料費」のセルには数式が入っています。(任意)" sqref="B16"/>
    <dataValidation allowBlank="1" showInputMessage="1" showErrorMessage="1" promptTitle="面数と取数の入力" prompt="面数と取数を入力して下さい。" sqref="B31:D31"/>
    <dataValidation allowBlank="1" showInputMessage="1" showErrorMessage="1" promptTitle="作業名の入力" prompt="作業名を入力して下さい。_x000a_（例）成形、段取り、梱包" sqref="K32 I32"/>
    <dataValidation allowBlank="1" showInputMessage="1" showErrorMessage="1" promptTitle="機械名の入力" prompt="機械名を入力して下さい。_x000a_(例)　INJ 150t" sqref="L32 J32"/>
    <dataValidation allowBlank="1" showInputMessage="1" showErrorMessage="1" promptTitle="その他" prompt="管理費を計上せず、工場出しまでに発生するその他の費用は、こちらに項目と金額を入力して下さい。" sqref="A74"/>
    <dataValidation allowBlank="1" showInputMessage="1" showErrorMessage="1" promptTitle="見積単価　（日本逆輸入）" prompt="日本逆輸入価格の見積の場合はこの欄に1個あたりの円価格を記入して下さい。" sqref="A104:C104"/>
    <dataValidation imeMode="halfAlpha" allowBlank="1" showInputMessage="1" showErrorMessage="1" promptTitle="コントロールNo." prompt="依頼書内に記載のコントロールNo.を入力して下さい" sqref="K9 I9"/>
    <dataValidation imeMode="halfAlpha" allowBlank="1" showInputMessage="1" showErrorMessage="1" promptTitle="見積基準数量" prompt="【量産の場合】　見積基準数量を入力して下さい_x000a_【試作の場合】　左のセルでリストから「個/試作(n)」を選択し、試作数量を入力して下さい。" sqref="K14 I14"/>
    <dataValidation allowBlank="1" showInputMessage="1" showErrorMessage="1" promptTitle="㊟" prompt="計算式が入っています（任意）" sqref="K34 I34"/>
    <dataValidation imeMode="halfAlpha" allowBlank="1" showInputMessage="1" showErrorMessage="1" promptTitle="起工型数" prompt="起工予定の金型数を入力して下さい" sqref="F84 F89 L84 L89 J84 J89 H84 H89"/>
    <dataValidation imeMode="halfAlpha" allowBlank="1" showInputMessage="1" showErrorMessage="1" promptTitle="耐用ショット数" prompt="1面あたりの金型の耐用ショット数を入力して下さい" sqref="E85 E90 K85 K90 I85 I90 G85 G90"/>
    <dataValidation imeMode="halfAlpha" allowBlank="1" showInputMessage="1" showErrorMessage="1" promptTitle="最大生産能力" prompt="各品番の最大生産能力（個/月）を入力して下さい" sqref="K76 I76"/>
    <dataValidation imeMode="off" allowBlank="1" showInputMessage="1" showErrorMessage="1" promptTitle="日本逆輸入価格の記入" prompt="日本逆輸入の見積価格を入力して下さい" sqref="E104 K104 I104 G104"/>
    <dataValidation allowBlank="1" showInputMessage="1" showErrorMessage="1" promptTitle="為替レート" prompt="見積計算時の為替レートを入力して下さい" sqref="L15 J15"/>
    <dataValidation imeMode="halfAlpha" allowBlank="1" showInputMessage="1" showErrorMessage="1" promptTitle="管理費を計上する「その他」項目" prompt="管理費を計上する項目がある場合は、このセルに金額、左側の_x000a_セルに項目を入力して下さい。" sqref="K28 I28"/>
    <dataValidation type="list" allowBlank="1" showInputMessage="1" showErrorMessage="1" sqref="J14 L14 F14 H14">
      <formula1>$P$4</formula1>
    </dataValidation>
    <dataValidation type="list" allowBlank="1" showInputMessage="1" showErrorMessage="1" promptTitle="納入先の選択" prompt="プルダウンリストより選択して下さい" sqref="K13 I13">
      <formula1>$O$4:$O$44</formula1>
    </dataValidation>
    <dataValidation type="list" allowBlank="1" showInputMessage="1" showErrorMessage="1" promptTitle="見積通貨" prompt="見積の通貨をプルダウンリストから選択して下さい" sqref="K15 I15">
      <formula1>$S$4:$S$14</formula1>
    </dataValidation>
    <dataValidation type="list" allowBlank="1" showInputMessage="1" showErrorMessage="1" promptTitle="取引条件" prompt="取引条件をプルダウンリストより選択してください" sqref="E102 K102 I102 G102">
      <formula1>$Y$4:$Y$10</formula1>
    </dataValidation>
    <dataValidation type="list" allowBlank="1" showInputMessage="1" showErrorMessage="1" promptTitle="償却方法" prompt="金型・治具費の償却方法プルダウンリストより選択_x000a_「型込」の場合は隣のセルに償却月数を入力して下さい" sqref="K81 I81">
      <formula1>$T$4:$T$5</formula1>
    </dataValidation>
    <dataValidation type="list" allowBlank="1" showInputMessage="1" showErrorMessage="1" promptTitle="港" prompt="仕向地をプルダウンリストより選択して下さい" sqref="F102 H102 J102 L102">
      <formula1>$Z$4:$Z$26</formula1>
    </dataValidation>
    <dataValidation type="list" allowBlank="1" showInputMessage="1" showErrorMessage="1" promptTitle="型共用" prompt="プルダウンリストから選択して下さい" sqref="L87 L82 J87 J82 F87 H87">
      <formula1>$V$4:$V$10</formula1>
    </dataValidation>
    <dataValidation type="list" allowBlank="1" showInputMessage="1" showErrorMessage="1" promptTitle="金型起工国" prompt="金型起工予定の国名をプルダウンリストより選択して下さい" sqref="F85 H90 H85 L90 J85 J90 L85 F90">
      <formula1>$X$4:$X$27</formula1>
    </dataValidation>
    <dataValidation type="list" allowBlank="1" showInputMessage="1" showErrorMessage="1" promptTitle="償却項目の入力" prompt="プルダウンリストから選択して下さい_x000a_「共用型」になる場合は左のセルもリスト選択して下さい" sqref="E82 K87 K82 I87 I82 E87 G82 G87">
      <formula1>$U$4:$U$10</formula1>
    </dataValidation>
    <dataValidation type="list" allowBlank="1" showInputMessage="1" showErrorMessage="1" promptTitle="型仕様の入力" prompt="プルダウンリストから選択して下さい_x000a_「その他」を選択した場合は詳細を通信欄に記入して下さい" sqref="E84 G89 G84 E89 I84 I89 K84 K89">
      <formula1>$W$4:$W$33</formula1>
    </dataValidation>
    <dataValidation type="list" allowBlank="1" showInputMessage="1" showErrorMessage="1" promptTitle="色" prompt="プルダウンより選択して下さい" sqref="K21 I21">
      <formula1>$R$4:$R$18</formula1>
    </dataValidation>
    <dataValidation type="list" allowBlank="1" showInputMessage="1" showErrorMessage="1" promptTitle="材料調達区分の選択" prompt="材料の調達方法をプルダウンリストから選択して下さい_x000a_「支給」…矢崎支給_x000a_「自家」…自家調達_x000a_" sqref="K16 I16">
      <formula1>$Q$4:$Q$5</formula1>
    </dataValidation>
    <dataValidation type="list" allowBlank="1" showInputMessage="1" showErrorMessage="1" promptTitle="増値税" prompt="中国生産で、増値税の課税対象になる見積の場合は、プルダウンリストより「増値税」を選択して下さい" sqref="A101:C101">
      <formula1>$AD$4</formula1>
    </dataValidation>
    <dataValidation type="list" imeMode="halfAlpha" allowBlank="1" showInputMessage="1" showErrorMessage="1" sqref="F85 H90 H85 F90">
      <formula1>$X$4:$X$27</formula1>
    </dataValidation>
    <dataValidation imeMode="halfAlpha" allowBlank="1" showInputMessage="1" showErrorMessage="1" promptTitle="4Mの現調化" prompt="国名を入力ください" sqref="F77:F80 H77:H80"/>
  </dataValidations>
  <printOptions horizontalCentered="1" verticalCentered="1"/>
  <pageMargins left="0" right="0" top="0" bottom="0" header="0" footer="0"/>
  <pageSetup paperSize="9" scale="3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cmdSend">
                <anchor moveWithCells="1" sizeWithCells="1">
                  <from>
                    <xdr:col>5</xdr:col>
                    <xdr:colOff>28575</xdr:colOff>
                    <xdr:row>1</xdr:row>
                    <xdr:rowOff>104775</xdr:rowOff>
                  </from>
                  <to>
                    <xdr:col>5</xdr:col>
                    <xdr:colOff>1400175</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53"/>
  <sheetViews>
    <sheetView workbookViewId="0">
      <selection activeCell="D11" sqref="D11"/>
    </sheetView>
  </sheetViews>
  <sheetFormatPr defaultRowHeight="13.5"/>
  <cols>
    <col min="1" max="1" width="3.25" customWidth="1"/>
    <col min="2" max="2" width="32.125" customWidth="1"/>
    <col min="3" max="3" width="4.625" style="37" customWidth="1"/>
    <col min="4" max="4" width="31.875" customWidth="1"/>
  </cols>
  <sheetData>
    <row r="2" spans="2:4">
      <c r="B2" s="589" t="s">
        <v>302</v>
      </c>
      <c r="C2" s="589"/>
      <c r="D2" s="589"/>
    </row>
    <row r="3" spans="2:4" ht="18.75" customHeight="1">
      <c r="B3" s="365" t="s">
        <v>303</v>
      </c>
      <c r="C3" s="365" t="s">
        <v>304</v>
      </c>
      <c r="D3" s="365" t="s">
        <v>305</v>
      </c>
    </row>
    <row r="4" spans="2:4" ht="15">
      <c r="B4" s="366" t="s">
        <v>306</v>
      </c>
      <c r="C4" s="367" t="s">
        <v>419</v>
      </c>
      <c r="D4" s="368" t="s">
        <v>307</v>
      </c>
    </row>
    <row r="5" spans="2:4" ht="15">
      <c r="B5" s="366" t="s">
        <v>308</v>
      </c>
      <c r="C5" s="367" t="s">
        <v>455</v>
      </c>
      <c r="D5" s="368" t="s">
        <v>421</v>
      </c>
    </row>
    <row r="6" spans="2:4" ht="15">
      <c r="B6" s="366" t="s">
        <v>309</v>
      </c>
      <c r="C6" s="367" t="s">
        <v>422</v>
      </c>
      <c r="D6" s="368" t="s">
        <v>310</v>
      </c>
    </row>
    <row r="7" spans="2:4" ht="15">
      <c r="B7" s="366" t="s">
        <v>311</v>
      </c>
      <c r="C7" s="367" t="s">
        <v>423</v>
      </c>
      <c r="D7" s="368" t="s">
        <v>312</v>
      </c>
    </row>
    <row r="8" spans="2:4" ht="15">
      <c r="B8" s="366" t="s">
        <v>313</v>
      </c>
      <c r="C8" s="367"/>
      <c r="D8" s="368"/>
    </row>
    <row r="9" spans="2:4" ht="15">
      <c r="B9" s="366" t="s">
        <v>314</v>
      </c>
      <c r="C9" s="367"/>
      <c r="D9" s="368"/>
    </row>
    <row r="10" spans="2:4" ht="15">
      <c r="B10" s="366" t="s">
        <v>315</v>
      </c>
      <c r="C10" s="367" t="s">
        <v>424</v>
      </c>
      <c r="D10" s="368" t="s">
        <v>316</v>
      </c>
    </row>
    <row r="11" spans="2:4" ht="15">
      <c r="B11" s="366" t="s">
        <v>317</v>
      </c>
      <c r="C11" s="367" t="s">
        <v>425</v>
      </c>
      <c r="D11" s="368" t="s">
        <v>318</v>
      </c>
    </row>
    <row r="12" spans="2:4" ht="15">
      <c r="B12" s="366" t="s">
        <v>319</v>
      </c>
      <c r="C12" s="367" t="s">
        <v>426</v>
      </c>
      <c r="D12" s="368" t="s">
        <v>320</v>
      </c>
    </row>
    <row r="13" spans="2:4" ht="15">
      <c r="B13" s="366" t="s">
        <v>321</v>
      </c>
      <c r="C13" s="367"/>
      <c r="D13" s="368"/>
    </row>
    <row r="14" spans="2:4" ht="15">
      <c r="B14" s="366" t="s">
        <v>322</v>
      </c>
      <c r="C14" s="367"/>
      <c r="D14" s="368"/>
    </row>
    <row r="15" spans="2:4" ht="15">
      <c r="B15" s="366" t="s">
        <v>323</v>
      </c>
      <c r="C15" s="367"/>
      <c r="D15" s="368"/>
    </row>
    <row r="16" spans="2:4" ht="15">
      <c r="B16" s="366" t="s">
        <v>324</v>
      </c>
      <c r="C16" s="367"/>
      <c r="D16" s="368"/>
    </row>
    <row r="17" spans="2:4" ht="15">
      <c r="B17" s="366" t="s">
        <v>325</v>
      </c>
      <c r="C17" s="367"/>
      <c r="D17" s="368"/>
    </row>
    <row r="18" spans="2:4" ht="15">
      <c r="B18" s="366" t="s">
        <v>326</v>
      </c>
      <c r="C18" s="367"/>
      <c r="D18" s="368"/>
    </row>
    <row r="19" spans="2:4" ht="15">
      <c r="B19" s="366" t="s">
        <v>327</v>
      </c>
      <c r="C19" s="367"/>
      <c r="D19" s="368"/>
    </row>
    <row r="20" spans="2:4" ht="15">
      <c r="B20" s="366" t="s">
        <v>328</v>
      </c>
      <c r="C20" s="367"/>
      <c r="D20" s="368"/>
    </row>
    <row r="21" spans="2:4" ht="15">
      <c r="B21" s="366" t="s">
        <v>329</v>
      </c>
      <c r="C21" s="367"/>
      <c r="D21" s="368"/>
    </row>
    <row r="22" spans="2:4" ht="15">
      <c r="B22" s="366" t="s">
        <v>330</v>
      </c>
      <c r="C22" s="367"/>
      <c r="D22" s="368"/>
    </row>
    <row r="23" spans="2:4" ht="15">
      <c r="B23" s="366" t="s">
        <v>331</v>
      </c>
      <c r="C23" s="367"/>
      <c r="D23" s="368"/>
    </row>
    <row r="24" spans="2:4" ht="15">
      <c r="B24" s="366" t="s">
        <v>332</v>
      </c>
      <c r="C24" s="367"/>
      <c r="D24" s="368"/>
    </row>
    <row r="25" spans="2:4" ht="15">
      <c r="B25" s="366" t="s">
        <v>333</v>
      </c>
      <c r="C25" s="367" t="s">
        <v>427</v>
      </c>
      <c r="D25" s="368" t="s">
        <v>334</v>
      </c>
    </row>
    <row r="26" spans="2:4" ht="15">
      <c r="B26" s="366" t="s">
        <v>335</v>
      </c>
      <c r="C26" s="367"/>
      <c r="D26" s="368"/>
    </row>
    <row r="27" spans="2:4" ht="15">
      <c r="B27" s="366" t="s">
        <v>336</v>
      </c>
      <c r="C27" s="367" t="s">
        <v>428</v>
      </c>
      <c r="D27" s="368" t="s">
        <v>337</v>
      </c>
    </row>
    <row r="28" spans="2:4" ht="15">
      <c r="B28" s="366" t="s">
        <v>338</v>
      </c>
      <c r="C28" s="367" t="s">
        <v>429</v>
      </c>
      <c r="D28" s="368" t="s">
        <v>339</v>
      </c>
    </row>
    <row r="29" spans="2:4" ht="15">
      <c r="B29" s="366" t="s">
        <v>340</v>
      </c>
      <c r="C29" s="367" t="s">
        <v>430</v>
      </c>
      <c r="D29" s="368" t="s">
        <v>341</v>
      </c>
    </row>
    <row r="30" spans="2:4" ht="15">
      <c r="B30" s="366" t="s">
        <v>342</v>
      </c>
      <c r="C30" s="367"/>
      <c r="D30" s="368"/>
    </row>
    <row r="31" spans="2:4" ht="15">
      <c r="B31" s="366" t="s">
        <v>343</v>
      </c>
      <c r="C31" s="367"/>
      <c r="D31" s="368"/>
    </row>
    <row r="32" spans="2:4" ht="15">
      <c r="B32" s="366" t="s">
        <v>344</v>
      </c>
      <c r="C32" s="367"/>
      <c r="D32" s="368"/>
    </row>
    <row r="33" spans="2:4" ht="15">
      <c r="B33" s="366" t="s">
        <v>345</v>
      </c>
      <c r="C33" s="367"/>
      <c r="D33" s="368"/>
    </row>
    <row r="34" spans="2:4" ht="15">
      <c r="B34" s="366" t="s">
        <v>346</v>
      </c>
      <c r="C34" s="367"/>
      <c r="D34" s="368"/>
    </row>
    <row r="35" spans="2:4" ht="15">
      <c r="B35" s="366" t="s">
        <v>347</v>
      </c>
      <c r="C35" s="367"/>
      <c r="D35" s="368"/>
    </row>
    <row r="36" spans="2:4" ht="15">
      <c r="B36" s="366" t="s">
        <v>348</v>
      </c>
      <c r="C36" s="367"/>
      <c r="D36" s="368"/>
    </row>
    <row r="37" spans="2:4" ht="15">
      <c r="B37" s="366" t="s">
        <v>349</v>
      </c>
      <c r="C37" s="367"/>
      <c r="D37" s="368"/>
    </row>
    <row r="38" spans="2:4" ht="15">
      <c r="B38" s="366" t="s">
        <v>350</v>
      </c>
      <c r="C38" s="367"/>
      <c r="D38" s="368"/>
    </row>
    <row r="39" spans="2:4" ht="15">
      <c r="B39" s="366" t="s">
        <v>351</v>
      </c>
      <c r="C39" s="367"/>
      <c r="D39" s="368"/>
    </row>
    <row r="40" spans="2:4" ht="15">
      <c r="B40" s="366" t="s">
        <v>352</v>
      </c>
      <c r="C40" s="367"/>
      <c r="D40" s="368"/>
    </row>
    <row r="41" spans="2:4" ht="15">
      <c r="B41" s="366" t="s">
        <v>353</v>
      </c>
      <c r="C41" s="367"/>
      <c r="D41" s="368"/>
    </row>
    <row r="42" spans="2:4" ht="15">
      <c r="B42" s="366" t="s">
        <v>354</v>
      </c>
      <c r="C42" s="367"/>
      <c r="D42" s="368"/>
    </row>
    <row r="43" spans="2:4" ht="15">
      <c r="B43" s="366" t="s">
        <v>355</v>
      </c>
      <c r="C43" s="367"/>
      <c r="D43" s="368"/>
    </row>
    <row r="44" spans="2:4" ht="15">
      <c r="B44" s="366" t="s">
        <v>356</v>
      </c>
      <c r="C44" s="367"/>
      <c r="D44" s="368"/>
    </row>
    <row r="45" spans="2:4" ht="15">
      <c r="B45" s="366" t="s">
        <v>357</v>
      </c>
      <c r="C45" s="367"/>
      <c r="D45" s="368"/>
    </row>
    <row r="46" spans="2:4" ht="15">
      <c r="B46" s="366" t="s">
        <v>358</v>
      </c>
      <c r="C46" s="367"/>
      <c r="D46" s="368"/>
    </row>
    <row r="47" spans="2:4" ht="15">
      <c r="B47" s="366" t="s">
        <v>359</v>
      </c>
      <c r="C47" s="367"/>
      <c r="D47" s="368"/>
    </row>
    <row r="48" spans="2:4" ht="15">
      <c r="B48" s="366" t="s">
        <v>360</v>
      </c>
      <c r="C48" s="367"/>
      <c r="D48" s="368"/>
    </row>
    <row r="49" spans="2:4" ht="15">
      <c r="B49" s="366" t="s">
        <v>361</v>
      </c>
      <c r="C49" s="367"/>
      <c r="D49" s="368"/>
    </row>
    <row r="50" spans="2:4" ht="15">
      <c r="B50" s="366" t="s">
        <v>362</v>
      </c>
      <c r="C50" s="367"/>
      <c r="D50" s="368"/>
    </row>
    <row r="51" spans="2:4" ht="15">
      <c r="B51" s="366" t="s">
        <v>363</v>
      </c>
      <c r="C51" s="367"/>
      <c r="D51" s="368"/>
    </row>
    <row r="52" spans="2:4" ht="15">
      <c r="B52" s="366" t="s">
        <v>364</v>
      </c>
      <c r="C52" s="367"/>
      <c r="D52" s="368"/>
    </row>
    <row r="53" spans="2:4" ht="15">
      <c r="B53" s="366" t="s">
        <v>365</v>
      </c>
      <c r="C53" s="367"/>
      <c r="D53" s="368"/>
    </row>
  </sheetData>
  <mergeCells count="1">
    <mergeCell ref="B2:D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L51"/>
  <sheetViews>
    <sheetView topLeftCell="B19" workbookViewId="0">
      <selection activeCell="C39" sqref="C39"/>
    </sheetView>
  </sheetViews>
  <sheetFormatPr defaultRowHeight="13.5"/>
  <cols>
    <col min="1" max="1" width="1.625" customWidth="1"/>
    <col min="2" max="2" width="23.375" bestFit="1" customWidth="1"/>
    <col min="3" max="3" width="7.5" style="37" bestFit="1" customWidth="1"/>
    <col min="4" max="4" width="20.875" customWidth="1"/>
    <col min="5" max="5" width="1.625" customWidth="1"/>
    <col min="6" max="6" width="18.25" bestFit="1" customWidth="1"/>
    <col min="7" max="7" width="4.875" style="37" customWidth="1"/>
    <col min="8" max="8" width="15.75" bestFit="1" customWidth="1"/>
    <col min="9" max="9" width="1.625" customWidth="1"/>
    <col min="10" max="10" width="20.75" bestFit="1" customWidth="1"/>
    <col min="11" max="11" width="4.875" style="37" customWidth="1"/>
    <col min="12" max="12" width="17.25" bestFit="1" customWidth="1"/>
  </cols>
  <sheetData>
    <row r="2" spans="2:12">
      <c r="B2" s="589" t="s">
        <v>366</v>
      </c>
      <c r="C2" s="589"/>
      <c r="D2" s="589"/>
      <c r="F2" s="589" t="s">
        <v>367</v>
      </c>
      <c r="G2" s="589"/>
      <c r="H2" s="589"/>
      <c r="J2" s="589" t="s">
        <v>368</v>
      </c>
      <c r="K2" s="589"/>
      <c r="L2" s="589"/>
    </row>
    <row r="3" spans="2:12" ht="18.75" customHeight="1">
      <c r="B3" s="365" t="s">
        <v>369</v>
      </c>
      <c r="C3" s="365" t="s">
        <v>304</v>
      </c>
      <c r="D3" s="365" t="s">
        <v>370</v>
      </c>
      <c r="F3" s="365" t="s">
        <v>371</v>
      </c>
      <c r="G3" s="365" t="s">
        <v>304</v>
      </c>
      <c r="H3" s="365" t="s">
        <v>370</v>
      </c>
      <c r="J3" s="365" t="s">
        <v>372</v>
      </c>
      <c r="K3" s="365" t="s">
        <v>304</v>
      </c>
      <c r="L3" s="365" t="s">
        <v>370</v>
      </c>
    </row>
    <row r="4" spans="2:12" ht="15">
      <c r="B4" s="366" t="s">
        <v>306</v>
      </c>
      <c r="C4" s="367" t="s">
        <v>419</v>
      </c>
      <c r="D4" s="368" t="s">
        <v>307</v>
      </c>
      <c r="F4" s="366" t="s">
        <v>306</v>
      </c>
      <c r="G4" s="367" t="s">
        <v>419</v>
      </c>
      <c r="H4" s="368" t="s">
        <v>307</v>
      </c>
      <c r="J4" s="366" t="s">
        <v>306</v>
      </c>
      <c r="K4" s="367" t="s">
        <v>419</v>
      </c>
      <c r="L4" s="368" t="s">
        <v>307</v>
      </c>
    </row>
    <row r="5" spans="2:12" ht="15">
      <c r="B5" s="366" t="s">
        <v>308</v>
      </c>
      <c r="C5" s="367" t="s">
        <v>420</v>
      </c>
      <c r="D5" s="368" t="s">
        <v>421</v>
      </c>
      <c r="F5" s="366" t="s">
        <v>308</v>
      </c>
      <c r="G5" s="367" t="s">
        <v>420</v>
      </c>
      <c r="H5" s="368" t="s">
        <v>421</v>
      </c>
      <c r="J5" s="366" t="s">
        <v>308</v>
      </c>
      <c r="K5" s="367" t="s">
        <v>420</v>
      </c>
      <c r="L5" s="368" t="s">
        <v>421</v>
      </c>
    </row>
    <row r="6" spans="2:12" ht="15">
      <c r="B6" s="366" t="s">
        <v>309</v>
      </c>
      <c r="C6" s="367" t="s">
        <v>422</v>
      </c>
      <c r="D6" s="368" t="s">
        <v>310</v>
      </c>
      <c r="F6" s="366" t="s">
        <v>309</v>
      </c>
      <c r="G6" s="367" t="s">
        <v>422</v>
      </c>
      <c r="H6" s="368" t="s">
        <v>310</v>
      </c>
      <c r="J6" s="366" t="s">
        <v>309</v>
      </c>
      <c r="K6" s="367" t="s">
        <v>422</v>
      </c>
      <c r="L6" s="368" t="s">
        <v>310</v>
      </c>
    </row>
    <row r="7" spans="2:12" ht="15">
      <c r="B7" s="387" t="s">
        <v>409</v>
      </c>
      <c r="C7" s="367"/>
      <c r="D7" s="368"/>
      <c r="F7" s="366" t="s">
        <v>373</v>
      </c>
      <c r="G7" s="367" t="s">
        <v>469</v>
      </c>
      <c r="H7" s="368"/>
      <c r="J7" s="366" t="s">
        <v>374</v>
      </c>
      <c r="K7" s="367"/>
      <c r="L7" s="368"/>
    </row>
    <row r="8" spans="2:12" ht="15">
      <c r="B8" s="366" t="s">
        <v>410</v>
      </c>
      <c r="C8" s="367" t="s">
        <v>497</v>
      </c>
      <c r="D8" s="368" t="s">
        <v>431</v>
      </c>
      <c r="F8" s="366" t="s">
        <v>375</v>
      </c>
      <c r="G8" s="367" t="s">
        <v>441</v>
      </c>
      <c r="H8" s="368" t="s">
        <v>440</v>
      </c>
      <c r="J8" s="366" t="s">
        <v>376</v>
      </c>
      <c r="K8" s="367"/>
      <c r="L8" s="368"/>
    </row>
    <row r="9" spans="2:12" ht="15">
      <c r="B9" s="366" t="s">
        <v>395</v>
      </c>
      <c r="C9" s="367" t="s">
        <v>457</v>
      </c>
      <c r="D9" s="368"/>
      <c r="F9" s="366" t="s">
        <v>377</v>
      </c>
      <c r="G9" s="367" t="s">
        <v>443</v>
      </c>
      <c r="H9" s="368"/>
      <c r="J9" s="366" t="s">
        <v>378</v>
      </c>
      <c r="K9" s="367" t="s">
        <v>448</v>
      </c>
      <c r="L9" s="368" t="s">
        <v>445</v>
      </c>
    </row>
    <row r="10" spans="2:12" ht="15">
      <c r="B10" s="366" t="s">
        <v>411</v>
      </c>
      <c r="C10" s="367" t="s">
        <v>458</v>
      </c>
      <c r="D10" s="368" t="s">
        <v>433</v>
      </c>
      <c r="F10" s="366" t="s">
        <v>379</v>
      </c>
      <c r="G10" s="367"/>
      <c r="H10" s="368" t="s">
        <v>470</v>
      </c>
      <c r="J10" s="366" t="s">
        <v>380</v>
      </c>
      <c r="K10" s="367" t="s">
        <v>449</v>
      </c>
      <c r="L10" s="368" t="s">
        <v>445</v>
      </c>
    </row>
    <row r="11" spans="2:12" ht="15">
      <c r="B11" s="366" t="s">
        <v>397</v>
      </c>
      <c r="C11" s="367" t="s">
        <v>459</v>
      </c>
      <c r="D11" s="368" t="s">
        <v>434</v>
      </c>
      <c r="F11" s="366" t="s">
        <v>382</v>
      </c>
      <c r="G11" s="367" t="s">
        <v>471</v>
      </c>
      <c r="H11" s="368" t="s">
        <v>442</v>
      </c>
      <c r="J11" s="366" t="s">
        <v>383</v>
      </c>
      <c r="K11" s="367" t="s">
        <v>450</v>
      </c>
      <c r="L11" s="368" t="s">
        <v>446</v>
      </c>
    </row>
    <row r="12" spans="2:12" ht="15">
      <c r="B12" s="366" t="s">
        <v>412</v>
      </c>
      <c r="C12" s="367" t="s">
        <v>460</v>
      </c>
      <c r="D12" s="368" t="s">
        <v>435</v>
      </c>
      <c r="F12" s="366" t="s">
        <v>384</v>
      </c>
      <c r="G12" s="367" t="s">
        <v>472</v>
      </c>
      <c r="H12" s="368" t="s">
        <v>444</v>
      </c>
      <c r="J12" s="366" t="s">
        <v>385</v>
      </c>
      <c r="K12" s="367" t="s">
        <v>451</v>
      </c>
      <c r="L12" s="368" t="s">
        <v>446</v>
      </c>
    </row>
    <row r="13" spans="2:12" ht="15">
      <c r="B13" s="366" t="s">
        <v>413</v>
      </c>
      <c r="C13" s="367" t="s">
        <v>437</v>
      </c>
      <c r="D13" s="368"/>
      <c r="F13" s="366" t="s">
        <v>387</v>
      </c>
      <c r="G13" s="367" t="s">
        <v>473</v>
      </c>
      <c r="H13" s="368"/>
      <c r="J13" s="366" t="s">
        <v>388</v>
      </c>
      <c r="K13" s="367" t="s">
        <v>452</v>
      </c>
      <c r="L13" s="368" t="s">
        <v>447</v>
      </c>
    </row>
    <row r="14" spans="2:12" ht="15">
      <c r="B14" s="366" t="s">
        <v>414</v>
      </c>
      <c r="C14" s="367" t="s">
        <v>432</v>
      </c>
      <c r="D14" s="368"/>
      <c r="F14" s="366" t="s">
        <v>386</v>
      </c>
      <c r="G14" s="367"/>
      <c r="H14" s="368"/>
      <c r="J14" s="366" t="s">
        <v>390</v>
      </c>
      <c r="K14" s="367" t="s">
        <v>453</v>
      </c>
      <c r="L14" s="368" t="s">
        <v>447</v>
      </c>
    </row>
    <row r="15" spans="2:12" ht="15">
      <c r="B15" s="366" t="s">
        <v>415</v>
      </c>
      <c r="C15" s="369" t="s">
        <v>461</v>
      </c>
      <c r="D15" s="370"/>
      <c r="F15" s="366" t="s">
        <v>389</v>
      </c>
      <c r="G15" s="367"/>
      <c r="H15" s="368"/>
      <c r="J15" s="366" t="s">
        <v>386</v>
      </c>
      <c r="K15" s="367"/>
      <c r="L15" s="368"/>
    </row>
    <row r="16" spans="2:12" ht="15">
      <c r="B16" s="366" t="s">
        <v>381</v>
      </c>
      <c r="C16" s="369" t="s">
        <v>462</v>
      </c>
      <c r="D16" s="370" t="s">
        <v>436</v>
      </c>
      <c r="F16" s="366" t="s">
        <v>391</v>
      </c>
      <c r="G16" s="367"/>
      <c r="H16" s="368"/>
      <c r="J16" s="366" t="s">
        <v>389</v>
      </c>
      <c r="K16" s="367"/>
      <c r="L16" s="368"/>
    </row>
    <row r="17" spans="2:12" ht="15">
      <c r="B17" s="366" t="s">
        <v>416</v>
      </c>
      <c r="C17" s="369" t="s">
        <v>463</v>
      </c>
      <c r="D17" s="370"/>
      <c r="J17" s="366" t="s">
        <v>391</v>
      </c>
      <c r="K17" s="367"/>
      <c r="L17" s="368"/>
    </row>
    <row r="18" spans="2:12" ht="15">
      <c r="B18" s="366" t="s">
        <v>417</v>
      </c>
      <c r="C18" s="369" t="s">
        <v>464</v>
      </c>
      <c r="D18" s="370" t="s">
        <v>438</v>
      </c>
      <c r="J18" s="371"/>
      <c r="K18" s="372"/>
      <c r="L18" s="373"/>
    </row>
    <row r="19" spans="2:12" ht="15">
      <c r="B19" s="366" t="s">
        <v>418</v>
      </c>
      <c r="C19" s="369"/>
      <c r="D19" s="370"/>
      <c r="J19" s="371"/>
      <c r="K19" s="372"/>
      <c r="L19" s="373"/>
    </row>
    <row r="20" spans="2:12" ht="15">
      <c r="B20" s="366" t="s">
        <v>465</v>
      </c>
      <c r="C20" s="369" t="s">
        <v>467</v>
      </c>
      <c r="D20" s="370"/>
      <c r="J20" s="371"/>
      <c r="K20" s="372"/>
      <c r="L20" s="373"/>
    </row>
    <row r="21" spans="2:12" ht="15">
      <c r="B21" s="366" t="s">
        <v>466</v>
      </c>
      <c r="C21" s="369" t="s">
        <v>427</v>
      </c>
      <c r="D21" s="370"/>
      <c r="J21" s="371"/>
      <c r="K21" s="372"/>
      <c r="L21" s="373"/>
    </row>
    <row r="22" spans="2:12" ht="15">
      <c r="B22" s="366" t="s">
        <v>333</v>
      </c>
      <c r="C22" s="369" t="s">
        <v>468</v>
      </c>
      <c r="D22" s="370" t="s">
        <v>334</v>
      </c>
      <c r="J22" s="371"/>
      <c r="K22" s="372"/>
      <c r="L22" s="373"/>
    </row>
    <row r="23" spans="2:12" ht="15">
      <c r="B23" s="366" t="s">
        <v>386</v>
      </c>
      <c r="C23" s="369"/>
      <c r="D23" s="370"/>
      <c r="J23" s="371"/>
      <c r="K23" s="372"/>
      <c r="L23" s="373"/>
    </row>
    <row r="24" spans="2:12" ht="15">
      <c r="B24" s="366" t="s">
        <v>389</v>
      </c>
      <c r="C24" s="369"/>
      <c r="D24" s="370"/>
      <c r="J24" s="371"/>
      <c r="K24" s="372"/>
      <c r="L24" s="373"/>
    </row>
    <row r="25" spans="2:12" ht="15">
      <c r="B25" s="366" t="s">
        <v>391</v>
      </c>
      <c r="C25" s="367"/>
      <c r="D25" s="368"/>
      <c r="J25" s="371"/>
      <c r="K25" s="372"/>
      <c r="L25" s="373"/>
    </row>
    <row r="26" spans="2:12">
      <c r="B26" s="374"/>
      <c r="C26" s="150"/>
      <c r="D26" s="375"/>
    </row>
    <row r="27" spans="2:12">
      <c r="B27" s="589" t="s">
        <v>392</v>
      </c>
      <c r="C27" s="589"/>
      <c r="D27" s="589"/>
      <c r="F27" s="589" t="s">
        <v>485</v>
      </c>
      <c r="G27" s="589"/>
      <c r="H27" s="589"/>
    </row>
    <row r="28" spans="2:12" ht="18.75" customHeight="1">
      <c r="B28" s="365" t="s">
        <v>393</v>
      </c>
      <c r="C28" s="365" t="s">
        <v>304</v>
      </c>
      <c r="D28" s="365" t="s">
        <v>370</v>
      </c>
      <c r="F28" s="365" t="s">
        <v>486</v>
      </c>
      <c r="G28" s="365" t="s">
        <v>304</v>
      </c>
      <c r="H28" s="365" t="s">
        <v>370</v>
      </c>
    </row>
    <row r="29" spans="2:12" ht="15">
      <c r="B29" s="366" t="s">
        <v>306</v>
      </c>
      <c r="C29" s="367" t="s">
        <v>419</v>
      </c>
      <c r="D29" s="368" t="s">
        <v>307</v>
      </c>
      <c r="F29" s="366" t="s">
        <v>306</v>
      </c>
      <c r="G29" s="367" t="s">
        <v>419</v>
      </c>
      <c r="H29" s="368" t="s">
        <v>307</v>
      </c>
    </row>
    <row r="30" spans="2:12" ht="15">
      <c r="B30" s="366" t="s">
        <v>308</v>
      </c>
      <c r="C30" s="367" t="s">
        <v>420</v>
      </c>
      <c r="D30" s="368" t="s">
        <v>421</v>
      </c>
      <c r="F30" s="366" t="s">
        <v>308</v>
      </c>
      <c r="G30" s="367" t="s">
        <v>420</v>
      </c>
      <c r="H30" s="368" t="s">
        <v>421</v>
      </c>
    </row>
    <row r="31" spans="2:12" ht="15">
      <c r="B31" s="366" t="s">
        <v>309</v>
      </c>
      <c r="C31" s="367" t="s">
        <v>422</v>
      </c>
      <c r="D31" s="368" t="s">
        <v>310</v>
      </c>
      <c r="F31" s="366" t="s">
        <v>309</v>
      </c>
      <c r="G31" s="367" t="s">
        <v>422</v>
      </c>
      <c r="H31" s="368" t="s">
        <v>310</v>
      </c>
    </row>
    <row r="32" spans="2:12" ht="15">
      <c r="B32" s="366" t="s">
        <v>373</v>
      </c>
      <c r="C32" s="367" t="s">
        <v>475</v>
      </c>
      <c r="D32" s="368"/>
      <c r="F32" s="366" t="s">
        <v>373</v>
      </c>
      <c r="G32" s="367"/>
      <c r="H32" s="368"/>
    </row>
    <row r="33" spans="2:8" ht="15">
      <c r="B33" s="366" t="s">
        <v>394</v>
      </c>
      <c r="C33" s="367" t="s">
        <v>423</v>
      </c>
      <c r="D33" s="368"/>
      <c r="F33" s="366" t="s">
        <v>487</v>
      </c>
      <c r="G33" s="367" t="s">
        <v>491</v>
      </c>
      <c r="H33" s="368"/>
    </row>
    <row r="34" spans="2:8" ht="15">
      <c r="B34" s="366" t="s">
        <v>395</v>
      </c>
      <c r="C34" s="367" t="s">
        <v>474</v>
      </c>
      <c r="D34" s="368"/>
      <c r="F34" s="366" t="s">
        <v>488</v>
      </c>
      <c r="G34" s="367" t="s">
        <v>492</v>
      </c>
      <c r="H34" s="368"/>
    </row>
    <row r="35" spans="2:8" ht="15">
      <c r="B35" s="366" t="s">
        <v>396</v>
      </c>
      <c r="C35" s="367" t="s">
        <v>480</v>
      </c>
      <c r="D35" s="368"/>
      <c r="F35" s="366" t="s">
        <v>381</v>
      </c>
      <c r="G35" s="367" t="s">
        <v>493</v>
      </c>
      <c r="H35" s="368"/>
    </row>
    <row r="36" spans="2:8" ht="15">
      <c r="B36" s="366" t="s">
        <v>397</v>
      </c>
      <c r="C36" s="367"/>
      <c r="D36" s="368" t="s">
        <v>477</v>
      </c>
      <c r="F36" s="366" t="s">
        <v>489</v>
      </c>
      <c r="G36" s="367" t="s">
        <v>494</v>
      </c>
      <c r="H36" s="368"/>
    </row>
    <row r="37" spans="2:8" ht="15">
      <c r="B37" s="366" t="s">
        <v>398</v>
      </c>
      <c r="C37" s="367" t="s">
        <v>439</v>
      </c>
      <c r="D37" s="368"/>
      <c r="F37" s="366" t="s">
        <v>490</v>
      </c>
      <c r="G37" s="367" t="s">
        <v>495</v>
      </c>
      <c r="H37" s="368"/>
    </row>
    <row r="38" spans="2:8" ht="15">
      <c r="B38" s="366" t="s">
        <v>377</v>
      </c>
      <c r="C38" s="367" t="s">
        <v>443</v>
      </c>
      <c r="D38" s="368"/>
      <c r="F38" s="366" t="s">
        <v>386</v>
      </c>
      <c r="G38" s="367"/>
      <c r="H38" s="368"/>
    </row>
    <row r="39" spans="2:8" ht="15">
      <c r="B39" s="366" t="s">
        <v>399</v>
      </c>
      <c r="C39" s="367" t="s">
        <v>476</v>
      </c>
      <c r="D39" s="368"/>
      <c r="F39" s="366" t="s">
        <v>389</v>
      </c>
      <c r="G39" s="367"/>
      <c r="H39" s="368"/>
    </row>
    <row r="40" spans="2:8" ht="15">
      <c r="B40" s="366" t="s">
        <v>400</v>
      </c>
      <c r="C40" s="367" t="s">
        <v>478</v>
      </c>
      <c r="D40" s="368"/>
      <c r="F40" s="389" t="s">
        <v>391</v>
      </c>
      <c r="G40" s="369"/>
      <c r="H40" s="370"/>
    </row>
    <row r="41" spans="2:8" ht="15">
      <c r="B41" s="366" t="s">
        <v>401</v>
      </c>
      <c r="C41" s="367"/>
      <c r="D41" s="368"/>
    </row>
    <row r="42" spans="2:8" ht="15">
      <c r="B42" s="366" t="s">
        <v>402</v>
      </c>
      <c r="C42" s="367" t="s">
        <v>479</v>
      </c>
      <c r="D42" s="368"/>
    </row>
    <row r="43" spans="2:8" ht="15">
      <c r="B43" s="366" t="s">
        <v>403</v>
      </c>
      <c r="C43" s="367" t="s">
        <v>481</v>
      </c>
      <c r="D43" s="368"/>
    </row>
    <row r="44" spans="2:8" ht="15">
      <c r="B44" s="366" t="s">
        <v>404</v>
      </c>
      <c r="C44" s="367" t="s">
        <v>481</v>
      </c>
      <c r="D44" s="368"/>
    </row>
    <row r="45" spans="2:8" ht="15">
      <c r="B45" s="366" t="s">
        <v>405</v>
      </c>
      <c r="C45" s="367" t="s">
        <v>482</v>
      </c>
      <c r="D45" s="368"/>
    </row>
    <row r="46" spans="2:8" ht="15">
      <c r="B46" s="366" t="s">
        <v>406</v>
      </c>
      <c r="C46" s="367" t="s">
        <v>483</v>
      </c>
      <c r="D46" s="368"/>
    </row>
    <row r="47" spans="2:8" ht="15">
      <c r="B47" s="366" t="s">
        <v>407</v>
      </c>
      <c r="C47" s="367" t="s">
        <v>425</v>
      </c>
      <c r="D47" s="368"/>
    </row>
    <row r="48" spans="2:8" ht="15">
      <c r="B48" s="366" t="s">
        <v>408</v>
      </c>
      <c r="C48" s="367" t="s">
        <v>484</v>
      </c>
      <c r="D48" s="368"/>
    </row>
    <row r="49" spans="2:4" ht="15">
      <c r="B49" s="366" t="s">
        <v>386</v>
      </c>
      <c r="C49" s="367"/>
      <c r="D49" s="368"/>
    </row>
    <row r="50" spans="2:4" ht="15">
      <c r="B50" s="366" t="s">
        <v>389</v>
      </c>
      <c r="C50" s="367"/>
      <c r="D50" s="368"/>
    </row>
    <row r="51" spans="2:4" ht="15">
      <c r="B51" s="366" t="s">
        <v>391</v>
      </c>
      <c r="C51" s="367"/>
      <c r="D51" s="368"/>
    </row>
  </sheetData>
  <mergeCells count="5">
    <mergeCell ref="B2:D2"/>
    <mergeCell ref="F2:H2"/>
    <mergeCell ref="J2:L2"/>
    <mergeCell ref="B27:D27"/>
    <mergeCell ref="F27:H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Single part</vt:lpstr>
      <vt:lpstr>Header</vt:lpstr>
      <vt:lpstr>Detail</vt:lpstr>
      <vt:lpstr>'Single part'!Print_Area</vt:lpstr>
    </vt:vector>
  </TitlesOfParts>
  <Company>TOS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administrator</cp:lastModifiedBy>
  <dcterms:created xsi:type="dcterms:W3CDTF">2015-09-25T03:18:24Z</dcterms:created>
  <dcterms:modified xsi:type="dcterms:W3CDTF">2015-11-05T07:39:40Z</dcterms:modified>
</cp:coreProperties>
</file>