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ASI EBWEB\01. TEMPLATE EXCEL\"/>
    </mc:Choice>
  </mc:AlternateContent>
  <bookViews>
    <workbookView xWindow="360" yWindow="435" windowWidth="15000" windowHeight="7650"/>
  </bookViews>
  <sheets>
    <sheet name="ASSY" sheetId="1" r:id="rId1"/>
    <sheet name="Header" sheetId="2" r:id="rId2"/>
    <sheet name="Detail" sheetId="3" r:id="rId3"/>
  </sheets>
  <definedNames>
    <definedName name="_xlnm.Print_Area" localSheetId="0">ASSY!$E$1:$T$114</definedName>
  </definedNames>
  <calcPr calcId="152511"/>
</workbook>
</file>

<file path=xl/calcChain.xml><?xml version="1.0" encoding="utf-8"?>
<calcChain xmlns="http://schemas.openxmlformats.org/spreadsheetml/2006/main">
  <c r="T38" i="1" l="1"/>
  <c r="T39" i="1"/>
  <c r="T40" i="1"/>
  <c r="Q46" i="1" s="1"/>
  <c r="R63" i="1" s="1"/>
  <c r="T41" i="1"/>
  <c r="T42" i="1"/>
  <c r="T43" i="1"/>
  <c r="T44" i="1"/>
  <c r="T45" i="1"/>
  <c r="T29" i="1"/>
  <c r="T30" i="1"/>
  <c r="T31" i="1"/>
  <c r="T32" i="1"/>
  <c r="T33" i="1"/>
  <c r="T34" i="1"/>
  <c r="T35" i="1"/>
  <c r="T36" i="1"/>
  <c r="Q27" i="1"/>
  <c r="T52" i="1"/>
  <c r="T53" i="1"/>
  <c r="T54" i="1"/>
  <c r="T55" i="1"/>
  <c r="T56" i="1"/>
  <c r="T57" i="1"/>
  <c r="T58" i="1"/>
  <c r="T59" i="1"/>
  <c r="S78" i="1"/>
  <c r="Q79" i="1" s="1"/>
  <c r="Q92" i="1"/>
  <c r="P38" i="1"/>
  <c r="M46" i="1" s="1"/>
  <c r="N63" i="1" s="1"/>
  <c r="P39" i="1"/>
  <c r="P40" i="1"/>
  <c r="P41" i="1"/>
  <c r="P42" i="1"/>
  <c r="P43" i="1"/>
  <c r="P44" i="1"/>
  <c r="P45" i="1"/>
  <c r="P29" i="1"/>
  <c r="P30" i="1"/>
  <c r="P31" i="1"/>
  <c r="P32" i="1"/>
  <c r="P33" i="1"/>
  <c r="P34" i="1"/>
  <c r="P35" i="1"/>
  <c r="P36" i="1"/>
  <c r="M27" i="1"/>
  <c r="P52" i="1"/>
  <c r="P53" i="1"/>
  <c r="M60" i="1" s="1"/>
  <c r="O63" i="1" s="1"/>
  <c r="P54" i="1"/>
  <c r="P55" i="1"/>
  <c r="P56" i="1"/>
  <c r="P57" i="1"/>
  <c r="P58" i="1"/>
  <c r="P59" i="1"/>
  <c r="O78" i="1"/>
  <c r="M79" i="1" s="1"/>
  <c r="M92" i="1"/>
  <c r="L40" i="1"/>
  <c r="L41" i="1"/>
  <c r="L42" i="1"/>
  <c r="L43" i="1"/>
  <c r="L44" i="1"/>
  <c r="L45" i="1"/>
  <c r="L30" i="1"/>
  <c r="L31" i="1"/>
  <c r="L32" i="1"/>
  <c r="L33" i="1"/>
  <c r="L34" i="1"/>
  <c r="L35" i="1"/>
  <c r="L36" i="1"/>
  <c r="I27" i="1"/>
  <c r="L55" i="1"/>
  <c r="L56" i="1"/>
  <c r="L57" i="1"/>
  <c r="L58" i="1"/>
  <c r="L59" i="1"/>
  <c r="I92" i="1"/>
  <c r="H104" i="1"/>
  <c r="Q102" i="1"/>
  <c r="H102" i="1"/>
  <c r="H101" i="1"/>
  <c r="H100" i="1"/>
  <c r="H99" i="1"/>
  <c r="H98" i="1"/>
  <c r="H97" i="1"/>
  <c r="H96" i="1"/>
  <c r="H95" i="1"/>
  <c r="H94" i="1"/>
  <c r="H93" i="1"/>
  <c r="R92" i="1"/>
  <c r="H92" i="1"/>
  <c r="H79" i="1"/>
  <c r="Q78" i="1"/>
  <c r="M78" i="1"/>
  <c r="K78" i="1"/>
  <c r="I79" i="1" s="1"/>
  <c r="S65" i="1"/>
  <c r="O65" i="1"/>
  <c r="K65" i="1"/>
  <c r="H64" i="1"/>
  <c r="H60" i="1"/>
  <c r="H49" i="1"/>
  <c r="H48" i="1"/>
  <c r="H47" i="1"/>
  <c r="H46" i="1"/>
  <c r="H37" i="1"/>
  <c r="S3" i="1"/>
  <c r="I60" i="1" l="1"/>
  <c r="I37" i="1"/>
  <c r="M37" i="1"/>
  <c r="Q37" i="1"/>
  <c r="Q49" i="1" s="1"/>
  <c r="Q63" i="1" s="1"/>
  <c r="Q60" i="1"/>
  <c r="S63" i="1" s="1"/>
  <c r="I46" i="1"/>
  <c r="M49" i="1"/>
  <c r="M63" i="1" s="1"/>
  <c r="M64" i="1" s="1"/>
  <c r="M96" i="1" s="1"/>
  <c r="M101" i="1" s="1"/>
  <c r="M104" i="1" s="1"/>
  <c r="I49" i="1"/>
  <c r="Q64" i="1" l="1"/>
  <c r="Q96" i="1" s="1"/>
  <c r="Q101" i="1" s="1"/>
  <c r="Q104" i="1" s="1"/>
  <c r="I64" i="1"/>
  <c r="I96" i="1" s="1"/>
  <c r="I101" i="1" s="1"/>
  <c r="I104" i="1" s="1"/>
</calcChain>
</file>

<file path=xl/comments1.xml><?xml version="1.0" encoding="utf-8"?>
<comments xmlns="http://schemas.openxmlformats.org/spreadsheetml/2006/main">
  <authors>
    <author>systemadmin</author>
    <author>Joko Susilo</author>
  </authors>
  <commentList>
    <comment ref="H27" authorId="0" shapeId="0">
      <text>
        <r>
          <rPr>
            <b/>
            <sz val="12"/>
            <color indexed="81"/>
            <rFont val="ＭＳ Ｐゴシック"/>
            <family val="3"/>
            <charset val="128"/>
          </rPr>
          <t>Select "Currency"</t>
        </r>
      </text>
    </comment>
    <comment ref="I92" authorId="1" shapeId="0">
      <text>
        <r>
          <rPr>
            <b/>
            <sz val="9"/>
            <color indexed="81"/>
            <rFont val="Tahoma"/>
            <family val="2"/>
          </rPr>
          <t>carton box</t>
        </r>
      </text>
    </comment>
    <comment ref="M92" authorId="1" shapeId="0">
      <text>
        <r>
          <rPr>
            <b/>
            <sz val="9"/>
            <color indexed="81"/>
            <rFont val="Tahoma"/>
            <family val="2"/>
          </rPr>
          <t>returnable box</t>
        </r>
      </text>
    </comment>
  </commentList>
</comments>
</file>

<file path=xl/sharedStrings.xml><?xml version="1.0" encoding="utf-8"?>
<sst xmlns="http://schemas.openxmlformats.org/spreadsheetml/2006/main" count="714" uniqueCount="485">
  <si>
    <t>●プルダウンリスト●</t>
    <phoneticPr fontId="0"/>
  </si>
  <si>
    <t>納入先</t>
    <rPh sb="0" eb="3">
      <t>ノウニュウサキ</t>
    </rPh>
    <phoneticPr fontId="0"/>
  </si>
  <si>
    <t>試作</t>
    <rPh sb="0" eb="2">
      <t>シサク</t>
    </rPh>
    <phoneticPr fontId="0"/>
  </si>
  <si>
    <t>区分</t>
    <rPh sb="0" eb="2">
      <t>クブン</t>
    </rPh>
    <phoneticPr fontId="0"/>
  </si>
  <si>
    <t>色</t>
    <rPh sb="0" eb="1">
      <t>イロ</t>
    </rPh>
    <phoneticPr fontId="0"/>
  </si>
  <si>
    <t>通貨</t>
    <rPh sb="0" eb="2">
      <t>ツウカ</t>
    </rPh>
    <phoneticPr fontId="0"/>
  </si>
  <si>
    <t>償却方法</t>
    <rPh sb="0" eb="2">
      <t>ショウキャク</t>
    </rPh>
    <rPh sb="2" eb="4">
      <t>ホウホウ</t>
    </rPh>
    <phoneticPr fontId="0"/>
  </si>
  <si>
    <t>項目</t>
    <rPh sb="0" eb="2">
      <t>コウモク</t>
    </rPh>
    <phoneticPr fontId="0"/>
  </si>
  <si>
    <t>共用型</t>
    <rPh sb="0" eb="2">
      <t>キョウヨウ</t>
    </rPh>
    <rPh sb="2" eb="3">
      <t>カタ</t>
    </rPh>
    <phoneticPr fontId="0"/>
  </si>
  <si>
    <t>型仕様</t>
    <rPh sb="0" eb="1">
      <t>カタ</t>
    </rPh>
    <rPh sb="1" eb="3">
      <t>シヨウ</t>
    </rPh>
    <phoneticPr fontId="0"/>
  </si>
  <si>
    <t>型起工国</t>
    <rPh sb="0" eb="1">
      <t>カタ</t>
    </rPh>
    <rPh sb="1" eb="3">
      <t>キコウ</t>
    </rPh>
    <rPh sb="3" eb="4">
      <t>コク</t>
    </rPh>
    <phoneticPr fontId="0"/>
  </si>
  <si>
    <t>取引条件</t>
    <rPh sb="0" eb="2">
      <t>トリヒキ</t>
    </rPh>
    <rPh sb="2" eb="4">
      <t>ジョウケン</t>
    </rPh>
    <phoneticPr fontId="0"/>
  </si>
  <si>
    <t>港</t>
    <rPh sb="0" eb="1">
      <t>ミナト</t>
    </rPh>
    <phoneticPr fontId="0"/>
  </si>
  <si>
    <t>増値税</t>
    <rPh sb="0" eb="1">
      <t>ゾウ</t>
    </rPh>
    <rPh sb="1" eb="2">
      <t>チ</t>
    </rPh>
    <rPh sb="2" eb="3">
      <t>ゼイ</t>
    </rPh>
    <phoneticPr fontId="0"/>
  </si>
  <si>
    <t>SUP NAME：</t>
    <phoneticPr fontId="0"/>
  </si>
  <si>
    <t>SUP CODE：</t>
    <phoneticPr fontId="0"/>
  </si>
  <si>
    <t>AAPL</t>
  </si>
  <si>
    <t>個/試作(ｎ)</t>
    <rPh sb="0" eb="1">
      <t>コ</t>
    </rPh>
    <rPh sb="2" eb="4">
      <t>シサク</t>
    </rPh>
    <phoneticPr fontId="0"/>
  </si>
  <si>
    <t>支給</t>
    <rPh sb="0" eb="2">
      <t>シキュウ</t>
    </rPh>
    <phoneticPr fontId="0"/>
  </si>
  <si>
    <t>NATURAL</t>
    <phoneticPr fontId="0"/>
  </si>
  <si>
    <t>USD</t>
    <phoneticPr fontId="0"/>
  </si>
  <si>
    <t>Non-amort</t>
  </si>
  <si>
    <r>
      <t>N</t>
    </r>
    <r>
      <rPr>
        <sz val="11"/>
        <rFont val="ＭＳ Ｐゴシック"/>
        <family val="3"/>
        <charset val="128"/>
      </rPr>
      <t>EW</t>
    </r>
  </si>
  <si>
    <t>色違い</t>
  </si>
  <si>
    <t>単型</t>
    <rPh sb="0" eb="1">
      <t>タン</t>
    </rPh>
    <rPh sb="1" eb="2">
      <t>ガタ</t>
    </rPh>
    <phoneticPr fontId="0"/>
  </si>
  <si>
    <t>JAPAN</t>
    <phoneticPr fontId="0"/>
  </si>
  <si>
    <t>FOB</t>
    <phoneticPr fontId="0"/>
  </si>
  <si>
    <t>烟台</t>
    <rPh sb="0" eb="2">
      <t>エンタイ</t>
    </rPh>
    <phoneticPr fontId="0"/>
  </si>
  <si>
    <t>VAT</t>
    <phoneticPr fontId="0"/>
  </si>
  <si>
    <t>APPROVAL</t>
  </si>
  <si>
    <t>AOB</t>
  </si>
  <si>
    <t>自家</t>
    <rPh sb="0" eb="2">
      <t>ジカ</t>
    </rPh>
    <phoneticPr fontId="0"/>
  </si>
  <si>
    <t>BLACK</t>
    <phoneticPr fontId="0"/>
  </si>
  <si>
    <t>EURO</t>
    <phoneticPr fontId="0"/>
  </si>
  <si>
    <t>Amort /month</t>
  </si>
  <si>
    <t>材質違い</t>
  </si>
  <si>
    <t>順送型</t>
    <rPh sb="0" eb="1">
      <t>ジュン</t>
    </rPh>
    <rPh sb="1" eb="2">
      <t>ソウ</t>
    </rPh>
    <rPh sb="2" eb="3">
      <t>ガタ</t>
    </rPh>
    <phoneticPr fontId="0"/>
  </si>
  <si>
    <t>CHINA</t>
    <phoneticPr fontId="0"/>
  </si>
  <si>
    <t>FCA</t>
    <phoneticPr fontId="0"/>
  </si>
  <si>
    <t>天津</t>
    <rPh sb="0" eb="2">
      <t>テンシン</t>
    </rPh>
    <phoneticPr fontId="0"/>
  </si>
  <si>
    <t>CHECK</t>
  </si>
  <si>
    <t>ARC</t>
  </si>
  <si>
    <t>GRAY</t>
  </si>
  <si>
    <t>RMB</t>
    <phoneticPr fontId="0"/>
  </si>
  <si>
    <r>
      <t>M</t>
    </r>
    <r>
      <rPr>
        <sz val="11"/>
        <rFont val="ＭＳ Ｐゴシック"/>
        <family val="3"/>
        <charset val="128"/>
      </rPr>
      <t>odirication</t>
    </r>
  </si>
  <si>
    <t>長さ違い</t>
  </si>
  <si>
    <t>INJ</t>
    <phoneticPr fontId="0"/>
  </si>
  <si>
    <t>KOREA</t>
    <phoneticPr fontId="0"/>
  </si>
  <si>
    <t>CIF</t>
    <phoneticPr fontId="0"/>
  </si>
  <si>
    <t>汕頭</t>
    <rPh sb="0" eb="2">
      <t>シャントウ</t>
    </rPh>
    <phoneticPr fontId="0"/>
  </si>
  <si>
    <t>【Supplier　→　YAZAKI】</t>
    <phoneticPr fontId="0"/>
  </si>
  <si>
    <t>PREPARATION</t>
  </si>
  <si>
    <t>PASI/PURC/WI04/F07:00</t>
  </si>
  <si>
    <t>CCC</t>
  </si>
  <si>
    <t>LIGHT GRAY</t>
    <phoneticPr fontId="0"/>
  </si>
  <si>
    <t>THB</t>
    <phoneticPr fontId="0"/>
  </si>
  <si>
    <t>表面処理違い</t>
    <phoneticPr fontId="0"/>
  </si>
  <si>
    <t>COMP</t>
    <phoneticPr fontId="0"/>
  </si>
  <si>
    <t>THAILAND</t>
    <phoneticPr fontId="0"/>
  </si>
  <si>
    <t>CIP</t>
    <phoneticPr fontId="0"/>
  </si>
  <si>
    <t>香港</t>
    <rPh sb="0" eb="2">
      <t>ホンコン</t>
    </rPh>
    <phoneticPr fontId="0"/>
  </si>
  <si>
    <t>CYM</t>
  </si>
  <si>
    <t>DARK GRAY</t>
    <phoneticPr fontId="0"/>
  </si>
  <si>
    <t>JPY</t>
    <phoneticPr fontId="0"/>
  </si>
  <si>
    <t>セット取り</t>
    <rPh sb="3" eb="4">
      <t>ド</t>
    </rPh>
    <phoneticPr fontId="0"/>
  </si>
  <si>
    <t>トムソン</t>
    <phoneticPr fontId="0"/>
  </si>
  <si>
    <t>VIETNAM</t>
    <phoneticPr fontId="0"/>
  </si>
  <si>
    <t>DDU</t>
    <phoneticPr fontId="0"/>
  </si>
  <si>
    <t>容奇港</t>
    <rPh sb="0" eb="1">
      <t>カタチ</t>
    </rPh>
    <rPh sb="1" eb="2">
      <t>キ</t>
    </rPh>
    <rPh sb="2" eb="3">
      <t>ミナト</t>
    </rPh>
    <phoneticPr fontId="0"/>
  </si>
  <si>
    <t>Ctrl. No.</t>
    <phoneticPr fontId="0"/>
  </si>
  <si>
    <t>KIH-12-EC-****</t>
    <phoneticPr fontId="0"/>
  </si>
  <si>
    <t>DIT</t>
  </si>
  <si>
    <t>RED</t>
  </si>
  <si>
    <t>IDN</t>
    <phoneticPr fontId="0"/>
  </si>
  <si>
    <t>入駒対応</t>
    <rPh sb="0" eb="1">
      <t>イ</t>
    </rPh>
    <rPh sb="1" eb="2">
      <t>コマ</t>
    </rPh>
    <rPh sb="2" eb="4">
      <t>タイオウ</t>
    </rPh>
    <phoneticPr fontId="0"/>
  </si>
  <si>
    <t>インサート</t>
    <phoneticPr fontId="0"/>
  </si>
  <si>
    <t>PHILIPPINES</t>
    <phoneticPr fontId="0"/>
  </si>
  <si>
    <t>DDI</t>
    <phoneticPr fontId="0"/>
  </si>
  <si>
    <t>高雄</t>
    <rPh sb="0" eb="2">
      <t>タカオ</t>
    </rPh>
    <phoneticPr fontId="0"/>
  </si>
  <si>
    <t>Part Number</t>
    <phoneticPr fontId="0"/>
  </si>
  <si>
    <t>7284-****</t>
    <phoneticPr fontId="0"/>
  </si>
  <si>
    <t>ELCOM</t>
  </si>
  <si>
    <t>DARK RED</t>
    <phoneticPr fontId="0"/>
  </si>
  <si>
    <t>ARS</t>
    <phoneticPr fontId="0"/>
  </si>
  <si>
    <t>セット+入駒</t>
    <rPh sb="4" eb="5">
      <t>イ</t>
    </rPh>
    <rPh sb="5" eb="6">
      <t>コマ</t>
    </rPh>
    <phoneticPr fontId="0"/>
  </si>
  <si>
    <t>多色成形</t>
    <rPh sb="0" eb="2">
      <t>タショク</t>
    </rPh>
    <rPh sb="2" eb="4">
      <t>セイケイ</t>
    </rPh>
    <phoneticPr fontId="0"/>
  </si>
  <si>
    <t>INDONESIA</t>
  </si>
  <si>
    <t>DDP</t>
    <phoneticPr fontId="0"/>
  </si>
  <si>
    <t>杭州</t>
    <rPh sb="0" eb="1">
      <t>クイ</t>
    </rPh>
    <rPh sb="1" eb="2">
      <t>シュウ</t>
    </rPh>
    <phoneticPr fontId="0"/>
  </si>
  <si>
    <t>Part Name</t>
    <phoneticPr fontId="0"/>
  </si>
  <si>
    <t>PROTECTOR ASSY</t>
    <phoneticPr fontId="0"/>
  </si>
  <si>
    <t>EMI</t>
  </si>
  <si>
    <t>BROWN</t>
  </si>
  <si>
    <t>ZAR</t>
    <phoneticPr fontId="0"/>
  </si>
  <si>
    <t>切削</t>
    <rPh sb="0" eb="2">
      <t>セッサク</t>
    </rPh>
    <phoneticPr fontId="0"/>
  </si>
  <si>
    <t>INDIA</t>
    <phoneticPr fontId="0"/>
  </si>
  <si>
    <t>厦門</t>
  </si>
  <si>
    <t>FSY</t>
  </si>
  <si>
    <t>BLUE</t>
  </si>
  <si>
    <t>INR</t>
    <phoneticPr fontId="0"/>
  </si>
  <si>
    <t>鍛造</t>
    <rPh sb="0" eb="2">
      <t>タンゾウ</t>
    </rPh>
    <phoneticPr fontId="0"/>
  </si>
  <si>
    <t>AUSTRALIA</t>
  </si>
  <si>
    <t>Singapore</t>
  </si>
  <si>
    <t>Delivery to</t>
    <phoneticPr fontId="0"/>
  </si>
  <si>
    <t>SAI</t>
    <phoneticPr fontId="0"/>
  </si>
  <si>
    <t>Currency</t>
    <phoneticPr fontId="0"/>
  </si>
  <si>
    <t>HIB</t>
  </si>
  <si>
    <t>DARK BLUE</t>
    <phoneticPr fontId="0"/>
  </si>
  <si>
    <t>ダイキャスト</t>
    <phoneticPr fontId="0"/>
  </si>
  <si>
    <t>MEXICO</t>
    <phoneticPr fontId="0"/>
  </si>
  <si>
    <t>Jakarta</t>
  </si>
  <si>
    <t>Quotation Vol.     (Pcs/month)</t>
    <phoneticPr fontId="0"/>
  </si>
  <si>
    <t>Exchange rate</t>
    <phoneticPr fontId="0"/>
  </si>
  <si>
    <t>HNY</t>
  </si>
  <si>
    <t>GREEN</t>
    <phoneticPr fontId="0"/>
  </si>
  <si>
    <t>アウトサート</t>
    <phoneticPr fontId="0"/>
  </si>
  <si>
    <t>USA</t>
    <phoneticPr fontId="0"/>
  </si>
  <si>
    <t>Surabaya</t>
  </si>
  <si>
    <t>Material</t>
  </si>
  <si>
    <t xml:space="preserve">Direct </t>
    <phoneticPr fontId="0"/>
  </si>
  <si>
    <t>Material name</t>
    <phoneticPr fontId="0"/>
  </si>
  <si>
    <t>MB</t>
    <phoneticPr fontId="0"/>
  </si>
  <si>
    <t>HTZ</t>
  </si>
  <si>
    <t>ORANGE</t>
  </si>
  <si>
    <t>押し出し</t>
    <rPh sb="0" eb="1">
      <t>オ</t>
    </rPh>
    <rPh sb="2" eb="3">
      <t>ダ</t>
    </rPh>
    <phoneticPr fontId="0"/>
  </si>
  <si>
    <t>BRAZIL</t>
    <phoneticPr fontId="0"/>
  </si>
  <si>
    <t>Semarang</t>
  </si>
  <si>
    <t>fee</t>
  </si>
  <si>
    <t>Material</t>
    <phoneticPr fontId="0"/>
  </si>
  <si>
    <t>HZY</t>
  </si>
  <si>
    <t>高圧ORANGE</t>
  </si>
  <si>
    <t>ブロー</t>
    <phoneticPr fontId="0"/>
  </si>
  <si>
    <t>ARGENTINA</t>
    <phoneticPr fontId="0"/>
  </si>
  <si>
    <t>Haiphong</t>
  </si>
  <si>
    <t>Material grade</t>
    <phoneticPr fontId="0"/>
  </si>
  <si>
    <t>Material grade</t>
  </si>
  <si>
    <t>JAI</t>
  </si>
  <si>
    <t>WHITE</t>
    <phoneticPr fontId="0"/>
  </si>
  <si>
    <t>インモールド</t>
    <phoneticPr fontId="0"/>
  </si>
  <si>
    <t>TURKEY</t>
  </si>
  <si>
    <t>HoChiMinh</t>
  </si>
  <si>
    <t>KET</t>
  </si>
  <si>
    <t>PIM</t>
    <phoneticPr fontId="0"/>
  </si>
  <si>
    <t>GERMANY</t>
    <phoneticPr fontId="0"/>
  </si>
  <si>
    <t>Manilla</t>
  </si>
  <si>
    <t>Material code</t>
    <phoneticPr fontId="0"/>
  </si>
  <si>
    <t>Material code</t>
  </si>
  <si>
    <t>LOROM</t>
  </si>
  <si>
    <t>DIP成形</t>
    <rPh sb="3" eb="5">
      <t>セイケイ</t>
    </rPh>
    <phoneticPr fontId="0"/>
  </si>
  <si>
    <t>SPAIN</t>
  </si>
  <si>
    <t>Bangkok</t>
  </si>
  <si>
    <t>Material color</t>
    <phoneticPr fontId="0"/>
  </si>
  <si>
    <t>Material color</t>
  </si>
  <si>
    <t>NACOM</t>
  </si>
  <si>
    <t>ﾚｰｻﾞｰﾌﾟﾛｸﾞﾗﾑ費</t>
    <rPh sb="12" eb="13">
      <t>ヒ</t>
    </rPh>
    <phoneticPr fontId="0"/>
  </si>
  <si>
    <t>ITALY</t>
    <phoneticPr fontId="0"/>
  </si>
  <si>
    <t>NhavaSheva</t>
  </si>
  <si>
    <t>MB　％</t>
    <phoneticPr fontId="0"/>
  </si>
  <si>
    <t>MB　％</t>
  </si>
  <si>
    <t>NIM</t>
  </si>
  <si>
    <t>シルク</t>
    <phoneticPr fontId="0"/>
  </si>
  <si>
    <t>PORTUGAL</t>
    <phoneticPr fontId="0"/>
  </si>
  <si>
    <t>Chennai</t>
  </si>
  <si>
    <t>Unit Price</t>
    <phoneticPr fontId="0"/>
  </si>
  <si>
    <t>Unit Price</t>
  </si>
  <si>
    <t>OHM</t>
  </si>
  <si>
    <t>ﾎｯﾄｽﾀﾝﾌﾟ</t>
    <phoneticPr fontId="0"/>
  </si>
  <si>
    <t>ジャカルダ倉庫</t>
    <rPh sb="5" eb="7">
      <t>ソウコ</t>
    </rPh>
    <phoneticPr fontId="0"/>
  </si>
  <si>
    <t>Return Price</t>
    <phoneticPr fontId="0"/>
  </si>
  <si>
    <t>Return Price</t>
  </si>
  <si>
    <t>SAI</t>
  </si>
  <si>
    <t>PAD印刷</t>
    <rPh sb="3" eb="5">
      <t>インサツ</t>
    </rPh>
    <phoneticPr fontId="0"/>
  </si>
  <si>
    <t>Apia</t>
  </si>
  <si>
    <t>Part Weight　(g/pcs)</t>
    <phoneticPr fontId="0"/>
  </si>
  <si>
    <t>SAMI</t>
  </si>
  <si>
    <t>自動機</t>
    <rPh sb="0" eb="3">
      <t>ジドウキ</t>
    </rPh>
    <phoneticPr fontId="0"/>
  </si>
  <si>
    <t>Incl. Loss　(g/pcs)</t>
    <phoneticPr fontId="0"/>
  </si>
  <si>
    <t>SHY</t>
  </si>
  <si>
    <r>
      <t>ﾊﾝﾄﾞA</t>
    </r>
    <r>
      <rPr>
        <sz val="11"/>
        <rFont val="ＭＳ Ｐゴシック"/>
        <family val="3"/>
        <charset val="128"/>
      </rPr>
      <t>ssy jig</t>
    </r>
  </si>
  <si>
    <t>Size</t>
    <phoneticPr fontId="0"/>
  </si>
  <si>
    <t>SINCOM</t>
  </si>
  <si>
    <t>ラベル</t>
    <phoneticPr fontId="0"/>
  </si>
  <si>
    <t>Direct material fee Total</t>
    <phoneticPr fontId="0"/>
  </si>
  <si>
    <t>USD/pcs</t>
  </si>
  <si>
    <t>SMD</t>
  </si>
  <si>
    <t>その他</t>
    <rPh sb="2" eb="3">
      <t>タ</t>
    </rPh>
    <phoneticPr fontId="0"/>
  </si>
  <si>
    <t>Compornent parts</t>
    <phoneticPr fontId="0"/>
  </si>
  <si>
    <t>Part number</t>
    <phoneticPr fontId="0"/>
  </si>
  <si>
    <t>PCS</t>
    <phoneticPr fontId="0"/>
  </si>
  <si>
    <t>Price</t>
    <phoneticPr fontId="0"/>
  </si>
  <si>
    <t>SSN</t>
  </si>
  <si>
    <t>Own
Production
parts</t>
    <phoneticPr fontId="0"/>
  </si>
  <si>
    <t>7184-****</t>
    <phoneticPr fontId="0"/>
  </si>
  <si>
    <t>SYA</t>
  </si>
  <si>
    <t>TAD</t>
  </si>
  <si>
    <t>TAPB</t>
  </si>
  <si>
    <t>TAPC</t>
  </si>
  <si>
    <t>TAPO</t>
  </si>
  <si>
    <t>TAPP</t>
  </si>
  <si>
    <t>TCG</t>
  </si>
  <si>
    <t>TJY</t>
  </si>
  <si>
    <t>Total</t>
    <phoneticPr fontId="0"/>
  </si>
  <si>
    <t>TYA-P</t>
  </si>
  <si>
    <t>Purchase
parts</t>
    <phoneticPr fontId="0"/>
  </si>
  <si>
    <t>7145-****</t>
    <phoneticPr fontId="0"/>
  </si>
  <si>
    <t>TYA-U</t>
  </si>
  <si>
    <t>7137-****</t>
    <phoneticPr fontId="0"/>
  </si>
  <si>
    <t>TYA-B</t>
  </si>
  <si>
    <t>TYC</t>
  </si>
  <si>
    <t>WSZ</t>
  </si>
  <si>
    <t>YAS</t>
  </si>
  <si>
    <t>YBE</t>
  </si>
  <si>
    <t>YBL</t>
  </si>
  <si>
    <t>YCSA</t>
  </si>
  <si>
    <t>Total</t>
  </si>
  <si>
    <t>YCT</t>
  </si>
  <si>
    <t>Other</t>
    <phoneticPr fontId="0"/>
  </si>
  <si>
    <t>YEL</t>
  </si>
  <si>
    <t>YELB</t>
  </si>
  <si>
    <t>Material fee Total</t>
    <phoneticPr fontId="0"/>
  </si>
  <si>
    <t>YELBL</t>
  </si>
  <si>
    <t>Process</t>
    <phoneticPr fontId="0"/>
  </si>
  <si>
    <t>SET</t>
    <phoneticPr fontId="0"/>
  </si>
  <si>
    <t>Cavity</t>
    <phoneticPr fontId="0"/>
  </si>
  <si>
    <t>YELG</t>
  </si>
  <si>
    <t>fee</t>
    <phoneticPr fontId="0"/>
  </si>
  <si>
    <t>Process/Machine name</t>
    <phoneticPr fontId="0"/>
  </si>
  <si>
    <t>Out-Put/hour
(pcs/h)</t>
    <phoneticPr fontId="0"/>
  </si>
  <si>
    <t>Cost/hour
( /h)</t>
    <phoneticPr fontId="0"/>
  </si>
  <si>
    <t>YELP</t>
  </si>
  <si>
    <t>COLLAR ASSY</t>
    <phoneticPr fontId="0"/>
  </si>
  <si>
    <t>YELT</t>
  </si>
  <si>
    <t>PACKING ASSY</t>
    <phoneticPr fontId="0"/>
  </si>
  <si>
    <t>YES</t>
  </si>
  <si>
    <t>INSPECTION</t>
    <phoneticPr fontId="0"/>
  </si>
  <si>
    <t>YEV</t>
  </si>
  <si>
    <t>YHK</t>
  </si>
  <si>
    <t>YHV</t>
  </si>
  <si>
    <t>YMO</t>
  </si>
  <si>
    <t>YNA</t>
  </si>
  <si>
    <t>Process fee total</t>
    <phoneticPr fontId="0"/>
  </si>
  <si>
    <t>YNAE</t>
  </si>
  <si>
    <t>Admi.</t>
    <phoneticPr fontId="0"/>
  </si>
  <si>
    <t>Item</t>
    <phoneticPr fontId="0"/>
  </si>
  <si>
    <t>Purchase</t>
    <phoneticPr fontId="0"/>
  </si>
  <si>
    <t>YOT</t>
  </si>
  <si>
    <t>％</t>
    <phoneticPr fontId="0"/>
  </si>
  <si>
    <t>YOTG</t>
  </si>
  <si>
    <t>YRL</t>
  </si>
  <si>
    <t>Admi. fee total</t>
    <phoneticPr fontId="0"/>
  </si>
  <si>
    <t>YSE</t>
  </si>
  <si>
    <t>Tool</t>
    <phoneticPr fontId="0"/>
  </si>
  <si>
    <t>Tooling fee payment method</t>
    <phoneticPr fontId="0"/>
  </si>
  <si>
    <t>YSK</t>
  </si>
  <si>
    <t>/Assy jig</t>
    <phoneticPr fontId="0"/>
  </si>
  <si>
    <t>Detail</t>
    <phoneticPr fontId="0"/>
  </si>
  <si>
    <t>YSP</t>
  </si>
  <si>
    <t>Item</t>
  </si>
  <si>
    <t>NEW</t>
  </si>
  <si>
    <t>YTMI</t>
  </si>
  <si>
    <t>YUL</t>
  </si>
  <si>
    <t>Type</t>
  </si>
  <si>
    <r>
      <t>ﾊﾝﾄﾞA</t>
    </r>
    <r>
      <rPr>
        <sz val="11"/>
        <rFont val="ＭＳ Ｐゴシック"/>
        <family val="3"/>
        <charset val="128"/>
      </rPr>
      <t>ssy</t>
    </r>
    <r>
      <rPr>
        <sz val="11"/>
        <rFont val="ＭＳ Ｐゴシック"/>
        <family val="3"/>
        <charset val="128"/>
      </rPr>
      <t>治具</t>
    </r>
  </si>
  <si>
    <t>YUY</t>
  </si>
  <si>
    <t>Life time shot /SET</t>
    <phoneticPr fontId="0"/>
  </si>
  <si>
    <t>Kick-off country</t>
    <phoneticPr fontId="0"/>
  </si>
  <si>
    <t>INDONESIA</t>
    <phoneticPr fontId="0"/>
  </si>
  <si>
    <t>YYA</t>
  </si>
  <si>
    <r>
      <t>(</t>
    </r>
    <r>
      <rPr>
        <sz val="11"/>
        <rFont val="ＭＳ Ｐゴシック"/>
        <family val="3"/>
        <charset val="128"/>
      </rPr>
      <t>/SET)</t>
    </r>
  </si>
  <si>
    <t>ZZY</t>
  </si>
  <si>
    <t>XGY</t>
  </si>
  <si>
    <t>日本国内</t>
    <rPh sb="0" eb="2">
      <t>ニホン</t>
    </rPh>
    <rPh sb="2" eb="4">
      <t>コクナイ</t>
    </rPh>
    <phoneticPr fontId="0"/>
  </si>
  <si>
    <t>乙仲納入</t>
    <rPh sb="0" eb="1">
      <t>オツ</t>
    </rPh>
    <rPh sb="1" eb="2">
      <t>ナカ</t>
    </rPh>
    <rPh sb="2" eb="4">
      <t>ノウニュウ</t>
    </rPh>
    <phoneticPr fontId="0"/>
  </si>
  <si>
    <t>メーカー直納</t>
    <rPh sb="4" eb="5">
      <t>チョク</t>
    </rPh>
    <rPh sb="5" eb="6">
      <t>オサム</t>
    </rPh>
    <phoneticPr fontId="0"/>
  </si>
  <si>
    <t>Amortization Fee</t>
    <phoneticPr fontId="0"/>
  </si>
  <si>
    <t>Packing</t>
    <phoneticPr fontId="0"/>
  </si>
  <si>
    <t>Carton size  L*W*H  （mm)</t>
    <phoneticPr fontId="0"/>
  </si>
  <si>
    <t>540*380*380</t>
    <phoneticPr fontId="0"/>
  </si>
  <si>
    <t>Qty in inner package / Qty in outside package</t>
    <phoneticPr fontId="0"/>
  </si>
  <si>
    <t>Packing detail</t>
    <phoneticPr fontId="0"/>
  </si>
  <si>
    <t>CARTON/IMPRABOARD</t>
  </si>
  <si>
    <t>VINYL</t>
  </si>
  <si>
    <t>LAYER</t>
  </si>
  <si>
    <t>LABEL</t>
  </si>
  <si>
    <t>TAPE</t>
  </si>
  <si>
    <t>PALLETE</t>
  </si>
  <si>
    <t>OTHER</t>
  </si>
  <si>
    <t>Packing fee total</t>
    <phoneticPr fontId="0"/>
  </si>
  <si>
    <t>Ex Works</t>
    <phoneticPr fontId="0"/>
  </si>
  <si>
    <t>LOGISTIC FEE</t>
    <phoneticPr fontId="0"/>
  </si>
  <si>
    <t>Part Price</t>
    <phoneticPr fontId="0"/>
  </si>
  <si>
    <t>VAT</t>
  </si>
  <si>
    <t>Delivered Price</t>
    <phoneticPr fontId="0"/>
  </si>
  <si>
    <t>INCO</t>
    <phoneticPr fontId="0"/>
  </si>
  <si>
    <t>DDU</t>
  </si>
  <si>
    <t>Export Price to Japan</t>
    <phoneticPr fontId="0"/>
  </si>
  <si>
    <t>(JPY/pcs）</t>
    <phoneticPr fontId="0"/>
  </si>
  <si>
    <t>Max. capacity /monthly</t>
    <phoneticPr fontId="0"/>
  </si>
  <si>
    <t>(pcs/month)</t>
    <phoneticPr fontId="0"/>
  </si>
  <si>
    <t>4M</t>
    <phoneticPr fontId="0"/>
  </si>
  <si>
    <t>Man</t>
  </si>
  <si>
    <t>Machine</t>
  </si>
  <si>
    <t>Tool</t>
  </si>
  <si>
    <t>Estimate mold process finish date</t>
  </si>
  <si>
    <t>2month</t>
    <phoneticPr fontId="0"/>
  </si>
  <si>
    <t>Trial date</t>
  </si>
  <si>
    <t>First shot sample aproval date</t>
  </si>
  <si>
    <t>Note:</t>
    <phoneticPr fontId="0"/>
  </si>
  <si>
    <t>ASSY</t>
  </si>
  <si>
    <t>HEADER</t>
  </si>
  <si>
    <t>QuotationHeader</t>
  </si>
  <si>
    <t>No</t>
  </si>
  <si>
    <t>template column</t>
  </si>
  <si>
    <t>PartNo</t>
  </si>
  <si>
    <t>Part Number</t>
  </si>
  <si>
    <t>SupplierID</t>
  </si>
  <si>
    <t>Sup Code</t>
  </si>
  <si>
    <t>ControlNo</t>
  </si>
  <si>
    <t>PartName</t>
  </si>
  <si>
    <t>Part Name</t>
  </si>
  <si>
    <t>AssyPartNo</t>
  </si>
  <si>
    <t>MassProPartNo</t>
  </si>
  <si>
    <t>QuotationType</t>
  </si>
  <si>
    <t>QuotationVolMonth</t>
  </si>
  <si>
    <t>Currency</t>
  </si>
  <si>
    <t>ProjectType</t>
  </si>
  <si>
    <t>DeliveryDate</t>
  </si>
  <si>
    <t>CarMaker</t>
  </si>
  <si>
    <t>CarLine</t>
  </si>
  <si>
    <t>DueDate</t>
  </si>
  <si>
    <t>LO</t>
  </si>
  <si>
    <t>Active</t>
  </si>
  <si>
    <t>RemarksPASI</t>
  </si>
  <si>
    <t>RemarksSupplier</t>
  </si>
  <si>
    <t>TotalMaterialFee</t>
  </si>
  <si>
    <t>TotalMaterialAssyFee</t>
  </si>
  <si>
    <t>TotalProcessFee</t>
  </si>
  <si>
    <t>Process Fee Total</t>
  </si>
  <si>
    <t>TotalAdminFee</t>
  </si>
  <si>
    <t>AmortizationPerPcs</t>
  </si>
  <si>
    <t>TotalOthersFee</t>
  </si>
  <si>
    <t>Status1_RFQEntry_Date</t>
  </si>
  <si>
    <t>Status1_RFQEntry_User</t>
  </si>
  <si>
    <t>Status2_RFQApproval_Date</t>
  </si>
  <si>
    <t>Status2_RFQApproval_User</t>
  </si>
  <si>
    <t>Status3_SupplierSubmit_Date</t>
  </si>
  <si>
    <t>Status3_SupplierSubmit_User</t>
  </si>
  <si>
    <t>Status4_Revision_Date</t>
  </si>
  <si>
    <t>Status4_Revision_User</t>
  </si>
  <si>
    <t>Status5_FinalQuotationApprove_Date</t>
  </si>
  <si>
    <t>Status5_FinalQuotationApprove_User</t>
  </si>
  <si>
    <t>Process Fee</t>
  </si>
  <si>
    <t>Admin Fee</t>
  </si>
  <si>
    <t>Table Material Fee</t>
  </si>
  <si>
    <t>Template Excel</t>
  </si>
  <si>
    <t>Table AdminFee</t>
  </si>
  <si>
    <t>SeqNo</t>
  </si>
  <si>
    <t>PurchaseFeePercentage</t>
  </si>
  <si>
    <t>Purchase</t>
  </si>
  <si>
    <t>ProcessName</t>
  </si>
  <si>
    <t>PurchaseFeeAmount</t>
  </si>
  <si>
    <t>ProductionCountry</t>
  </si>
  <si>
    <t>MCSize</t>
  </si>
  <si>
    <t>MaterialFeePercentage</t>
  </si>
  <si>
    <t>CycleTime</t>
  </si>
  <si>
    <t>MaterialFeeAmount</t>
  </si>
  <si>
    <t>Grade</t>
  </si>
  <si>
    <t>OutPut</t>
  </si>
  <si>
    <t>ProcessFeePercentage</t>
  </si>
  <si>
    <t>Process</t>
  </si>
  <si>
    <t>CostPerHour</t>
  </si>
  <si>
    <t>ProcessFeeAmount</t>
  </si>
  <si>
    <t>ProcessCost</t>
  </si>
  <si>
    <t>Price</t>
  </si>
  <si>
    <t>ProfitFeePercentage</t>
  </si>
  <si>
    <t>RegisterDate</t>
  </si>
  <si>
    <t>ProfitFeeAmount</t>
  </si>
  <si>
    <t>LastUpdateDate</t>
  </si>
  <si>
    <t>UnitPrice</t>
  </si>
  <si>
    <t>UserID</t>
  </si>
  <si>
    <t>Cavity</t>
  </si>
  <si>
    <t>MoldQty</t>
  </si>
  <si>
    <t>LifeTimeShot</t>
  </si>
  <si>
    <t>MoldCost</t>
  </si>
  <si>
    <t>TotalMoldCost</t>
  </si>
  <si>
    <t>AmortizationTerm</t>
  </si>
  <si>
    <t>AmortizationQty</t>
  </si>
  <si>
    <t>QuotationCurrCode</t>
  </si>
  <si>
    <t>ExchangeRate</t>
  </si>
  <si>
    <t>PartRank</t>
  </si>
  <si>
    <t>PartCls</t>
  </si>
  <si>
    <t>PartSubCls</t>
  </si>
  <si>
    <t>TotalPackingDetail</t>
  </si>
  <si>
    <t>SupplierAmortizationPerPcs1</t>
  </si>
  <si>
    <t>PASIAmortizationPerPcs</t>
  </si>
  <si>
    <t>TotalOthersFee1</t>
  </si>
  <si>
    <t>TotalOthersFee2</t>
  </si>
  <si>
    <t>TotalOthersFee3</t>
  </si>
  <si>
    <t>TotalOthersFee4</t>
  </si>
  <si>
    <t>Status6_FinalQuotationUnApprove_Date</t>
  </si>
  <si>
    <t>Status6_FinalQuotationUnApprove_User</t>
  </si>
  <si>
    <t>SendRFQCls</t>
  </si>
  <si>
    <t>SendAgrementCls</t>
  </si>
  <si>
    <t>FinalQuotation_MassProPartNo</t>
  </si>
  <si>
    <t>FinalQuotation_RemarksPASI</t>
  </si>
  <si>
    <t>FinalQuotation_RemarksSupplier</t>
  </si>
  <si>
    <t>Mold Fee Supplier</t>
  </si>
  <si>
    <t>MoldCode</t>
  </si>
  <si>
    <t>MaxCapacity</t>
  </si>
  <si>
    <t>TotalMoldCapacityPerMonth</t>
  </si>
  <si>
    <t>MoldModificationCost</t>
  </si>
  <si>
    <t>Q3</t>
  </si>
  <si>
    <t>I9</t>
  </si>
  <si>
    <t>I8</t>
  </si>
  <si>
    <t>Ctrl. No</t>
  </si>
  <si>
    <t>I10</t>
  </si>
  <si>
    <t>TableMoldFee Supplier</t>
  </si>
  <si>
    <t>Quotation Vol (pcs/month)</t>
  </si>
  <si>
    <t>L13</t>
  </si>
  <si>
    <t>Exchange Rate</t>
  </si>
  <si>
    <t>I63</t>
  </si>
  <si>
    <t>Admin Fee Total</t>
  </si>
  <si>
    <t>Packing Fee Total</t>
  </si>
  <si>
    <t>Material Assy</t>
  </si>
  <si>
    <t>Table Material Assy</t>
  </si>
  <si>
    <t>AssyPartName</t>
  </si>
  <si>
    <t>Qty</t>
  </si>
  <si>
    <t>Amount</t>
  </si>
  <si>
    <t>Pcs</t>
  </si>
  <si>
    <t>Process Name</t>
  </si>
  <si>
    <t>Out Put</t>
  </si>
  <si>
    <t>Cost / Hour</t>
  </si>
  <si>
    <t>J62</t>
  </si>
  <si>
    <t>I62</t>
  </si>
  <si>
    <t>K62</t>
  </si>
  <si>
    <t xml:space="preserve"> </t>
  </si>
  <si>
    <t>I14</t>
  </si>
  <si>
    <t>L14</t>
  </si>
  <si>
    <t>I60</t>
  </si>
  <si>
    <t>I64</t>
  </si>
  <si>
    <t>I92</t>
  </si>
  <si>
    <t>H29</t>
  </si>
  <si>
    <t>I29</t>
  </si>
  <si>
    <t>By database</t>
  </si>
  <si>
    <t>J29</t>
  </si>
  <si>
    <t>K29</t>
  </si>
  <si>
    <t>L29</t>
  </si>
  <si>
    <t>H52</t>
  </si>
  <si>
    <t>I52</t>
  </si>
  <si>
    <t>Kosong</t>
  </si>
  <si>
    <t>J52</t>
  </si>
  <si>
    <t>K52</t>
  </si>
  <si>
    <t>L52</t>
  </si>
  <si>
    <t>Profit</t>
  </si>
  <si>
    <t>J63</t>
  </si>
  <si>
    <t>K63</t>
  </si>
  <si>
    <t>L62</t>
  </si>
  <si>
    <t>L63</t>
  </si>
  <si>
    <t>F66</t>
  </si>
  <si>
    <t>Sama seperti single</t>
  </si>
  <si>
    <t>I110</t>
  </si>
  <si>
    <t>Sementara Kosong</t>
  </si>
  <si>
    <t>J70</t>
  </si>
  <si>
    <t>Rumus</t>
  </si>
  <si>
    <t>I106</t>
  </si>
  <si>
    <t>I71</t>
  </si>
  <si>
    <t>Rumus seperti Single Part</t>
  </si>
  <si>
    <t>J65</t>
  </si>
  <si>
    <t>I16</t>
  </si>
  <si>
    <t>I79</t>
  </si>
  <si>
    <t>Packing</t>
  </si>
  <si>
    <t>Table Packing</t>
  </si>
  <si>
    <t>PackingName</t>
  </si>
  <si>
    <t>QtyInOutsidePackage</t>
  </si>
  <si>
    <t>F83</t>
  </si>
  <si>
    <t>K83</t>
  </si>
  <si>
    <t>K81</t>
  </si>
  <si>
    <t>I83</t>
  </si>
  <si>
    <t>Mass Pro Part Number</t>
  </si>
  <si>
    <t>KIH-12-EC-1234</t>
  </si>
  <si>
    <t>7284-1234</t>
  </si>
  <si>
    <t>PROTECTOR ASSY</t>
  </si>
  <si>
    <t>PCS</t>
  </si>
  <si>
    <t>admin-purchase@pemi.co.id</t>
  </si>
  <si>
    <t>motcomp-03@pemi.co.id;motcomp-02@pemi.co.id;motcomp-04@pemi.co.id;motcomp-06@pemi.co.id;nisa-k@pemi.co.id;mahfud-a@pemi.co.id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</si>
</sst>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#,##0_ "/>
    <numFmt numFmtId="165" formatCode="&quot;¥&quot;#,##0.000;&quot;¥&quot;\-#,##0.000"/>
    <numFmt numFmtId="166" formatCode="#,##0.00_ ;[Red]\-#,##0.00\ "/>
    <numFmt numFmtId="167" formatCode="0.00_ "/>
    <numFmt numFmtId="168" formatCode="0.00_);[Red]\(0.00\)"/>
    <numFmt numFmtId="169" formatCode="#,##0.00_ "/>
    <numFmt numFmtId="170" formatCode="0.0%"/>
    <numFmt numFmtId="171" formatCode="0_ "/>
    <numFmt numFmtId="172" formatCode="yyyy/m/d;@"/>
  </numFmts>
  <fonts count="30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4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20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3"/>
      <name val="ＭＳ Ｐゴシック"/>
      <family val="3"/>
      <charset val="128"/>
    </font>
    <font>
      <sz val="12"/>
      <color rgb="FFFF0000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b/>
      <sz val="13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3"/>
      <color indexed="10"/>
      <name val="ＭＳ Ｐゴシック"/>
      <family val="3"/>
      <charset val="128"/>
    </font>
    <font>
      <b/>
      <sz val="14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sz val="14"/>
      <color indexed="62"/>
      <name val="ＭＳ Ｐゴシック"/>
      <family val="3"/>
      <charset val="128"/>
    </font>
    <font>
      <b/>
      <sz val="16"/>
      <color indexed="62"/>
      <name val="ＭＳ Ｐゴシック"/>
      <family val="3"/>
      <charset val="128"/>
    </font>
    <font>
      <sz val="16"/>
      <name val="ＭＳ Ｐゴシック"/>
      <family val="3"/>
      <charset val="128"/>
    </font>
    <font>
      <sz val="16"/>
      <color indexed="62"/>
      <name val="ＭＳ Ｐゴシック"/>
      <family val="3"/>
      <charset val="128"/>
    </font>
    <font>
      <b/>
      <sz val="12"/>
      <color indexed="81"/>
      <name val="ＭＳ Ｐゴシック"/>
      <family val="3"/>
      <charset val="128"/>
    </font>
    <font>
      <b/>
      <sz val="9"/>
      <color indexed="81"/>
      <name val="Tahoma"/>
      <family val="2"/>
    </font>
    <font>
      <sz val="14"/>
      <color theme="0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b/>
      <sz val="14"/>
      <name val="Arial"/>
      <family val="2"/>
    </font>
    <font>
      <b/>
      <sz val="11"/>
      <name val="ＭＳ Ｐゴシック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gray125">
        <fgColor indexed="41"/>
      </patternFill>
    </fill>
    <fill>
      <patternFill patternType="solid">
        <fgColor indexed="9"/>
        <bgColor indexed="64"/>
      </patternFill>
    </fill>
    <fill>
      <patternFill patternType="gray125">
        <fgColor indexed="43"/>
      </patternFill>
    </fill>
    <fill>
      <patternFill patternType="gray125">
        <fgColor indexed="46"/>
      </patternFill>
    </fill>
    <fill>
      <patternFill patternType="gray125">
        <fgColor indexed="45"/>
      </patternFill>
    </fill>
    <fill>
      <patternFill patternType="lightGray">
        <fgColor indexed="41"/>
        <bgColor indexed="9"/>
      </patternFill>
    </fill>
    <fill>
      <patternFill patternType="lightGray">
        <fgColor indexed="41"/>
      </patternFill>
    </fill>
    <fill>
      <patternFill patternType="gray125">
        <fgColor indexed="24"/>
      </patternFill>
    </fill>
    <fill>
      <patternFill patternType="solid">
        <fgColor indexed="39"/>
        <bgColor indexed="64"/>
      </patternFill>
    </fill>
    <fill>
      <patternFill patternType="solid">
        <fgColor rgb="FFFFFF00"/>
        <bgColor indexed="64"/>
      </patternFill>
    </fill>
  </fills>
  <borders count="1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double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dotted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tted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double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dotted">
        <color indexed="64"/>
      </bottom>
      <diagonal/>
    </border>
    <border>
      <left/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tted">
        <color indexed="64"/>
      </bottom>
      <diagonal/>
    </border>
    <border>
      <left/>
      <right style="double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uble">
        <color indexed="64"/>
      </bottom>
      <diagonal/>
    </border>
    <border>
      <left/>
      <right/>
      <top style="dotted">
        <color indexed="64"/>
      </top>
      <bottom style="double">
        <color indexed="64"/>
      </bottom>
      <diagonal/>
    </border>
    <border>
      <left/>
      <right style="thin">
        <color indexed="64"/>
      </right>
      <top style="dotted">
        <color indexed="64"/>
      </top>
      <bottom style="double">
        <color indexed="64"/>
      </bottom>
      <diagonal/>
    </border>
    <border>
      <left/>
      <right style="hair">
        <color indexed="64"/>
      </right>
      <top style="dotted">
        <color indexed="64"/>
      </top>
      <bottom style="double">
        <color indexed="64"/>
      </bottom>
      <diagonal/>
    </border>
    <border>
      <left/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double">
        <color indexed="64"/>
      </left>
      <right/>
      <top style="dotted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6">
    <xf numFmtId="0" fontId="0" fillId="0" borderId="0"/>
    <xf numFmtId="38" fontId="1" fillId="0" borderId="0" applyFont="0" applyFill="0" applyBorder="0" applyAlignment="0" applyProtection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</cellStyleXfs>
  <cellXfs count="758">
    <xf numFmtId="0" fontId="0" fillId="0" borderId="0" xfId="0"/>
    <xf numFmtId="0" fontId="2" fillId="0" borderId="0" xfId="0" applyFont="1"/>
    <xf numFmtId="0" fontId="1" fillId="0" borderId="0" xfId="0" applyFont="1" applyAlignment="1">
      <alignment horizontal="right"/>
    </xf>
    <xf numFmtId="0" fontId="3" fillId="0" borderId="0" xfId="2" applyFont="1" applyAlignment="1">
      <alignment vertical="center"/>
    </xf>
    <xf numFmtId="0" fontId="3" fillId="0" borderId="0" xfId="2" applyFont="1" applyAlignment="1">
      <alignment horizontal="center" vertical="center"/>
    </xf>
    <xf numFmtId="0" fontId="1" fillId="0" borderId="0" xfId="3" applyAlignment="1"/>
    <xf numFmtId="0" fontId="1" fillId="0" borderId="0" xfId="3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6" fillId="0" borderId="4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3" fillId="0" borderId="4" xfId="0" applyFont="1" applyBorder="1" applyAlignment="1">
      <alignment horizontal="center" vertical="center"/>
    </xf>
    <xf numFmtId="49" fontId="7" fillId="0" borderId="2" xfId="0" applyNumberFormat="1" applyFont="1" applyBorder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Font="1" applyBorder="1" applyAlignment="1">
      <alignment vertical="center"/>
    </xf>
    <xf numFmtId="0" fontId="1" fillId="0" borderId="9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3" fillId="0" borderId="10" xfId="0" applyFont="1" applyBorder="1" applyAlignment="1">
      <alignment horizontal="distributed" vertical="center"/>
    </xf>
    <xf numFmtId="0" fontId="2" fillId="0" borderId="8" xfId="0" applyNumberFormat="1" applyFont="1" applyBorder="1" applyAlignment="1">
      <alignment vertical="center"/>
    </xf>
    <xf numFmtId="0" fontId="2" fillId="0" borderId="11" xfId="0" applyNumberFormat="1" applyFont="1" applyBorder="1" applyAlignment="1">
      <alignment vertical="center"/>
    </xf>
    <xf numFmtId="0" fontId="2" fillId="0" borderId="12" xfId="0" applyNumberFormat="1" applyFont="1" applyBorder="1" applyAlignment="1">
      <alignment vertic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" fillId="0" borderId="13" xfId="0" applyFont="1" applyBorder="1" applyAlignment="1">
      <alignment vertical="center"/>
    </xf>
    <xf numFmtId="0" fontId="5" fillId="0" borderId="9" xfId="0" applyFont="1" applyBorder="1" applyAlignment="1">
      <alignment horizontal="center" vertical="center"/>
    </xf>
    <xf numFmtId="0" fontId="3" fillId="0" borderId="14" xfId="0" applyFont="1" applyBorder="1" applyAlignment="1">
      <alignment horizontal="distributed" vertical="center"/>
    </xf>
    <xf numFmtId="0" fontId="2" fillId="0" borderId="13" xfId="0" applyNumberFormat="1" applyFont="1" applyBorder="1" applyAlignment="1">
      <alignment vertical="center"/>
    </xf>
    <xf numFmtId="0" fontId="2" fillId="0" borderId="15" xfId="0" applyNumberFormat="1" applyFont="1" applyBorder="1" applyAlignment="1">
      <alignment vertical="center"/>
    </xf>
    <xf numFmtId="0" fontId="2" fillId="0" borderId="16" xfId="0" applyNumberFormat="1" applyFont="1" applyBorder="1" applyAlignment="1">
      <alignment vertical="center"/>
    </xf>
    <xf numFmtId="0" fontId="5" fillId="0" borderId="0" xfId="0" applyFont="1" applyBorder="1"/>
    <xf numFmtId="0" fontId="0" fillId="0" borderId="9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13" xfId="0" applyFont="1" applyBorder="1" applyAlignment="1">
      <alignment vertical="center"/>
    </xf>
    <xf numFmtId="0" fontId="3" fillId="0" borderId="17" xfId="0" applyFont="1" applyBorder="1" applyAlignment="1">
      <alignment horizontal="distributed" vertical="center"/>
    </xf>
    <xf numFmtId="0" fontId="2" fillId="0" borderId="18" xfId="0" applyNumberFormat="1" applyFont="1" applyBorder="1" applyAlignment="1">
      <alignment vertical="center"/>
    </xf>
    <xf numFmtId="0" fontId="2" fillId="0" borderId="19" xfId="0" applyNumberFormat="1" applyFont="1" applyBorder="1" applyAlignment="1">
      <alignment vertical="center"/>
    </xf>
    <xf numFmtId="0" fontId="2" fillId="0" borderId="20" xfId="0" applyNumberFormat="1" applyFont="1" applyBorder="1" applyAlignment="1">
      <alignment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5" fillId="0" borderId="9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left" vertical="center"/>
    </xf>
    <xf numFmtId="0" fontId="2" fillId="0" borderId="22" xfId="0" applyFont="1" applyBorder="1" applyAlignment="1">
      <alignment horizontal="left" vertical="center"/>
    </xf>
    <xf numFmtId="0" fontId="2" fillId="0" borderId="25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26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0" fontId="0" fillId="0" borderId="13" xfId="0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2" fillId="0" borderId="13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0" borderId="15" xfId="0" applyFont="1" applyBorder="1" applyAlignment="1">
      <alignment horizontal="center" vertical="center" shrinkToFit="1"/>
    </xf>
    <xf numFmtId="0" fontId="2" fillId="0" borderId="28" xfId="0" applyFont="1" applyBorder="1" applyAlignment="1">
      <alignment horizontal="left" vertical="center"/>
    </xf>
    <xf numFmtId="0" fontId="2" fillId="0" borderId="29" xfId="0" applyFont="1" applyBorder="1" applyAlignment="1">
      <alignment horizontal="left" vertical="center"/>
    </xf>
    <xf numFmtId="0" fontId="0" fillId="0" borderId="30" xfId="0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0" fillId="0" borderId="30" xfId="0" applyFill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3" fillId="0" borderId="0" xfId="0" applyFont="1" applyBorder="1" applyAlignment="1">
      <alignment horizontal="left" vertical="center" indent="1"/>
    </xf>
    <xf numFmtId="0" fontId="5" fillId="0" borderId="0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7" fillId="0" borderId="28" xfId="0" applyFont="1" applyFill="1" applyBorder="1" applyAlignment="1">
      <alignment horizontal="center" vertical="center" wrapText="1"/>
    </xf>
    <xf numFmtId="164" fontId="3" fillId="0" borderId="9" xfId="0" applyNumberFormat="1" applyFont="1" applyBorder="1" applyAlignment="1">
      <alignment horizontal="center" vertical="center"/>
    </xf>
    <xf numFmtId="164" fontId="3" fillId="0" borderId="43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 vertical="center"/>
    </xf>
    <xf numFmtId="164" fontId="2" fillId="0" borderId="13" xfId="0" applyNumberFormat="1" applyFont="1" applyBorder="1" applyAlignment="1">
      <alignment horizontal="center" vertical="center" shrinkToFit="1"/>
    </xf>
    <xf numFmtId="0" fontId="2" fillId="0" borderId="15" xfId="0" applyFont="1" applyFill="1" applyBorder="1" applyAlignment="1">
      <alignment horizontal="center" vertical="center" wrapText="1"/>
    </xf>
    <xf numFmtId="0" fontId="7" fillId="0" borderId="9" xfId="0" applyFont="1" applyFill="1" applyBorder="1" applyAlignment="1">
      <alignment horizontal="center" vertical="center" shrinkToFit="1"/>
    </xf>
    <xf numFmtId="165" fontId="9" fillId="0" borderId="28" xfId="0" applyNumberFormat="1" applyFont="1" applyBorder="1" applyAlignment="1">
      <alignment horizontal="center" vertical="center"/>
    </xf>
    <xf numFmtId="165" fontId="9" fillId="0" borderId="29" xfId="0" applyNumberFormat="1" applyFont="1" applyBorder="1" applyAlignment="1">
      <alignment horizontal="center" vertical="center"/>
    </xf>
    <xf numFmtId="165" fontId="9" fillId="0" borderId="0" xfId="0" applyNumberFormat="1" applyFont="1" applyBorder="1" applyAlignment="1">
      <alignment horizontal="center" vertical="center"/>
    </xf>
    <xf numFmtId="0" fontId="7" fillId="3" borderId="31" xfId="0" applyFont="1" applyFill="1" applyBorder="1" applyAlignment="1">
      <alignment vertical="center"/>
    </xf>
    <xf numFmtId="0" fontId="7" fillId="0" borderId="33" xfId="0" applyFont="1" applyBorder="1" applyAlignment="1">
      <alignment horizontal="left" vertical="center" indent="1"/>
    </xf>
    <xf numFmtId="0" fontId="2" fillId="0" borderId="0" xfId="0" applyFont="1" applyFill="1" applyBorder="1" applyAlignment="1">
      <alignment horizontal="center" vertical="center" wrapText="1"/>
    </xf>
    <xf numFmtId="0" fontId="7" fillId="3" borderId="44" xfId="0" applyFont="1" applyFill="1" applyBorder="1" applyAlignment="1">
      <alignment vertical="center"/>
    </xf>
    <xf numFmtId="0" fontId="3" fillId="3" borderId="46" xfId="0" applyFont="1" applyFill="1" applyBorder="1" applyAlignment="1">
      <alignment vertical="center" wrapText="1"/>
    </xf>
    <xf numFmtId="0" fontId="10" fillId="0" borderId="9" xfId="0" applyFont="1" applyFill="1" applyBorder="1" applyAlignment="1">
      <alignment horizontal="distributed" vertical="center"/>
    </xf>
    <xf numFmtId="0" fontId="3" fillId="0" borderId="13" xfId="0" applyFont="1" applyFill="1" applyBorder="1" applyAlignment="1">
      <alignment horizontal="left" vertical="center" shrinkToFit="1"/>
    </xf>
    <xf numFmtId="0" fontId="10" fillId="0" borderId="13" xfId="0" applyFont="1" applyFill="1" applyBorder="1" applyAlignment="1">
      <alignment horizontal="distributed" vertical="center"/>
    </xf>
    <xf numFmtId="0" fontId="3" fillId="0" borderId="43" xfId="0" applyFont="1" applyFill="1" applyBorder="1" applyAlignment="1">
      <alignment horizontal="left" vertical="center" shrinkToFit="1"/>
    </xf>
    <xf numFmtId="0" fontId="3" fillId="0" borderId="0" xfId="0" applyFont="1" applyFill="1" applyBorder="1" applyAlignment="1">
      <alignment horizontal="left" vertical="center" shrinkToFit="1"/>
    </xf>
    <xf numFmtId="0" fontId="5" fillId="0" borderId="0" xfId="0" applyFont="1" applyBorder="1" applyAlignment="1">
      <alignment horizontal="center" vertical="center" shrinkToFit="1"/>
    </xf>
    <xf numFmtId="0" fontId="2" fillId="3" borderId="44" xfId="0" applyFont="1" applyFill="1" applyBorder="1" applyAlignment="1">
      <alignment vertical="center"/>
    </xf>
    <xf numFmtId="0" fontId="3" fillId="3" borderId="45" xfId="0" applyFont="1" applyFill="1" applyBorder="1" applyAlignment="1">
      <alignment vertical="center"/>
    </xf>
    <xf numFmtId="0" fontId="3" fillId="3" borderId="0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3" xfId="0" applyFont="1" applyFill="1" applyBorder="1" applyAlignment="1">
      <alignment vertical="center"/>
    </xf>
    <xf numFmtId="0" fontId="3" fillId="0" borderId="43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0" fillId="0" borderId="0" xfId="0" applyFill="1" applyAlignment="1"/>
    <xf numFmtId="0" fontId="3" fillId="0" borderId="9" xfId="0" applyNumberFormat="1" applyFont="1" applyFill="1" applyBorder="1" applyAlignment="1">
      <alignment vertical="center"/>
    </xf>
    <xf numFmtId="0" fontId="3" fillId="0" borderId="13" xfId="0" applyNumberFormat="1" applyFont="1" applyFill="1" applyBorder="1" applyAlignment="1">
      <alignment horizontal="left" vertical="center" shrinkToFit="1"/>
    </xf>
    <xf numFmtId="0" fontId="3" fillId="0" borderId="13" xfId="0" applyNumberFormat="1" applyFont="1" applyFill="1" applyBorder="1" applyAlignment="1">
      <alignment vertical="center"/>
    </xf>
    <xf numFmtId="0" fontId="3" fillId="0" borderId="43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Border="1" applyAlignment="1">
      <alignment horizontal="left" vertical="center" shrinkToFit="1"/>
    </xf>
    <xf numFmtId="0" fontId="5" fillId="0" borderId="47" xfId="0" applyFont="1" applyBorder="1" applyAlignment="1">
      <alignment horizontal="center" vertical="center"/>
    </xf>
    <xf numFmtId="0" fontId="0" fillId="0" borderId="0" xfId="0" applyFill="1"/>
    <xf numFmtId="0" fontId="5" fillId="0" borderId="48" xfId="0" applyFont="1" applyBorder="1" applyAlignment="1">
      <alignment horizontal="center" vertical="center"/>
    </xf>
    <xf numFmtId="0" fontId="3" fillId="0" borderId="9" xfId="0" applyNumberFormat="1" applyFont="1" applyFill="1" applyBorder="1" applyAlignment="1">
      <alignment horizontal="left" vertical="center" shrinkToFit="1"/>
    </xf>
    <xf numFmtId="0" fontId="3" fillId="0" borderId="9" xfId="0" applyFont="1" applyFill="1" applyBorder="1" applyAlignment="1">
      <alignment vertical="center" shrinkToFit="1"/>
    </xf>
    <xf numFmtId="0" fontId="3" fillId="0" borderId="43" xfId="0" applyFont="1" applyFill="1" applyBorder="1" applyAlignment="1">
      <alignment vertical="center" shrinkToFit="1"/>
    </xf>
    <xf numFmtId="0" fontId="3" fillId="0" borderId="0" xfId="0" applyFont="1" applyFill="1" applyBorder="1" applyAlignment="1">
      <alignment vertical="center" shrinkToFit="1"/>
    </xf>
    <xf numFmtId="164" fontId="0" fillId="0" borderId="49" xfId="0" applyNumberFormat="1" applyFill="1" applyBorder="1" applyAlignment="1">
      <alignment horizontal="center" vertical="center" shrinkToFit="1"/>
    </xf>
    <xf numFmtId="164" fontId="1" fillId="0" borderId="50" xfId="0" applyNumberFormat="1" applyFont="1" applyFill="1" applyBorder="1" applyAlignment="1">
      <alignment horizontal="center" vertical="center" wrapText="1"/>
    </xf>
    <xf numFmtId="164" fontId="0" fillId="0" borderId="50" xfId="0" applyNumberFormat="1" applyFill="1" applyBorder="1" applyAlignment="1">
      <alignment horizontal="center" vertical="center" shrinkToFit="1"/>
    </xf>
    <xf numFmtId="0" fontId="1" fillId="0" borderId="49" xfId="0" applyFont="1" applyFill="1" applyBorder="1" applyAlignment="1">
      <alignment horizontal="center" vertical="center" wrapText="1"/>
    </xf>
    <xf numFmtId="0" fontId="1" fillId="0" borderId="51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11" fillId="0" borderId="0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40" fontId="0" fillId="0" borderId="52" xfId="0" applyNumberFormat="1" applyFont="1" applyFill="1" applyBorder="1" applyAlignment="1">
      <alignment horizontal="center" vertical="center" shrinkToFit="1"/>
    </xf>
    <xf numFmtId="40" fontId="9" fillId="0" borderId="53" xfId="0" applyNumberFormat="1" applyFont="1" applyFill="1" applyBorder="1" applyAlignment="1">
      <alignment horizontal="center" vertical="center"/>
    </xf>
    <xf numFmtId="40" fontId="0" fillId="0" borderId="53" xfId="0" applyNumberFormat="1" applyFont="1" applyFill="1" applyBorder="1" applyAlignment="1">
      <alignment horizontal="center" vertical="center" shrinkToFit="1"/>
    </xf>
    <xf numFmtId="40" fontId="9" fillId="0" borderId="52" xfId="0" applyNumberFormat="1" applyFont="1" applyFill="1" applyBorder="1" applyAlignment="1">
      <alignment horizontal="center" vertical="center" wrapText="1"/>
    </xf>
    <xf numFmtId="40" fontId="9" fillId="0" borderId="54" xfId="0" applyNumberFormat="1" applyFont="1" applyFill="1" applyBorder="1" applyAlignment="1">
      <alignment horizontal="center" vertical="center" wrapText="1"/>
    </xf>
    <xf numFmtId="40" fontId="9" fillId="0" borderId="0" xfId="0" applyNumberFormat="1" applyFont="1" applyFill="1" applyBorder="1" applyAlignment="1">
      <alignment horizontal="center" vertical="center" wrapText="1"/>
    </xf>
    <xf numFmtId="0" fontId="11" fillId="0" borderId="48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" fillId="3" borderId="45" xfId="0" applyFont="1" applyFill="1" applyBorder="1" applyAlignment="1">
      <alignment vertical="center"/>
    </xf>
    <xf numFmtId="0" fontId="1" fillId="3" borderId="0" xfId="0" applyFont="1" applyFill="1" applyBorder="1" applyAlignment="1">
      <alignment vertical="center"/>
    </xf>
    <xf numFmtId="0" fontId="1" fillId="3" borderId="46" xfId="0" applyFont="1" applyFill="1" applyBorder="1" applyAlignment="1">
      <alignment vertical="center"/>
    </xf>
    <xf numFmtId="40" fontId="0" fillId="0" borderId="49" xfId="0" applyNumberFormat="1" applyFont="1" applyFill="1" applyBorder="1" applyAlignment="1">
      <alignment vertical="center"/>
    </xf>
    <xf numFmtId="40" fontId="9" fillId="0" borderId="50" xfId="0" applyNumberFormat="1" applyFont="1" applyFill="1" applyBorder="1" applyAlignment="1">
      <alignment horizontal="center" vertical="center"/>
    </xf>
    <xf numFmtId="40" fontId="0" fillId="0" borderId="50" xfId="0" applyNumberFormat="1" applyFont="1" applyFill="1" applyBorder="1" applyAlignment="1">
      <alignment horizontal="distributed" vertical="center"/>
    </xf>
    <xf numFmtId="40" fontId="9" fillId="0" borderId="49" xfId="0" applyNumberFormat="1" applyFont="1" applyFill="1" applyBorder="1" applyAlignment="1">
      <alignment horizontal="center" vertical="center" wrapText="1"/>
    </xf>
    <xf numFmtId="40" fontId="9" fillId="0" borderId="51" xfId="0" applyNumberFormat="1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/>
    </xf>
    <xf numFmtId="0" fontId="5" fillId="0" borderId="55" xfId="0" applyFont="1" applyBorder="1" applyAlignment="1">
      <alignment horizontal="center" vertical="center"/>
    </xf>
    <xf numFmtId="40" fontId="0" fillId="0" borderId="5" xfId="0" applyNumberFormat="1" applyFont="1" applyFill="1" applyBorder="1" applyAlignment="1">
      <alignment vertical="center"/>
    </xf>
    <xf numFmtId="166" fontId="9" fillId="0" borderId="7" xfId="0" applyNumberFormat="1" applyFont="1" applyFill="1" applyBorder="1" applyAlignment="1">
      <alignment horizontal="center" vertical="center"/>
    </xf>
    <xf numFmtId="40" fontId="0" fillId="0" borderId="7" xfId="0" applyNumberFormat="1" applyFont="1" applyFill="1" applyBorder="1" applyAlignment="1">
      <alignment horizontal="distributed" vertical="center"/>
    </xf>
    <xf numFmtId="40" fontId="9" fillId="0" borderId="5" xfId="0" applyNumberFormat="1" applyFont="1" applyFill="1" applyBorder="1" applyAlignment="1">
      <alignment horizontal="center" vertical="center" wrapText="1"/>
    </xf>
    <xf numFmtId="40" fontId="9" fillId="0" borderId="56" xfId="0" applyNumberFormat="1" applyFont="1" applyFill="1" applyBorder="1" applyAlignment="1">
      <alignment horizontal="center" vertical="center" wrapText="1"/>
    </xf>
    <xf numFmtId="167" fontId="5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3" fillId="3" borderId="46" xfId="0" applyFont="1" applyFill="1" applyBorder="1" applyAlignment="1">
      <alignment vertical="center"/>
    </xf>
    <xf numFmtId="40" fontId="0" fillId="4" borderId="9" xfId="0" applyNumberFormat="1" applyFill="1" applyBorder="1" applyAlignment="1">
      <alignment horizontal="distributed" vertical="center"/>
    </xf>
    <xf numFmtId="166" fontId="9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2" fillId="3" borderId="38" xfId="0" applyFont="1" applyFill="1" applyBorder="1" applyAlignment="1">
      <alignment horizontal="right" vertical="center" wrapText="1"/>
    </xf>
    <xf numFmtId="40" fontId="8" fillId="0" borderId="45" xfId="0" applyNumberFormat="1" applyFont="1" applyBorder="1" applyAlignment="1">
      <alignment horizontal="center" vertical="center"/>
    </xf>
    <xf numFmtId="0" fontId="1" fillId="0" borderId="15" xfId="0" applyFont="1" applyFill="1" applyBorder="1" applyAlignment="1">
      <alignment horizontal="center" vertical="center" wrapText="1"/>
    </xf>
    <xf numFmtId="0" fontId="1" fillId="0" borderId="38" xfId="0" applyFont="1" applyFill="1" applyBorder="1" applyAlignment="1">
      <alignment horizontal="center" vertical="center" wrapText="1"/>
    </xf>
    <xf numFmtId="0" fontId="1" fillId="0" borderId="57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shrinkToFit="1"/>
    </xf>
    <xf numFmtId="0" fontId="3" fillId="3" borderId="58" xfId="0" applyFont="1" applyFill="1" applyBorder="1" applyAlignment="1">
      <alignment horizontal="center" vertical="center" shrinkToFit="1"/>
    </xf>
    <xf numFmtId="0" fontId="3" fillId="3" borderId="59" xfId="0" applyFont="1" applyFill="1" applyBorder="1" applyAlignment="1">
      <alignment horizontal="center" vertical="center" shrinkToFit="1"/>
    </xf>
    <xf numFmtId="0" fontId="3" fillId="3" borderId="9" xfId="0" applyFont="1" applyFill="1" applyBorder="1" applyAlignment="1">
      <alignment horizontal="center" vertical="center" shrinkToFit="1"/>
    </xf>
    <xf numFmtId="0" fontId="3" fillId="3" borderId="43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5" fillId="0" borderId="47" xfId="0" applyFont="1" applyBorder="1" applyAlignment="1">
      <alignment vertical="center"/>
    </xf>
    <xf numFmtId="0" fontId="3" fillId="3" borderId="61" xfId="0" applyFont="1" applyFill="1" applyBorder="1" applyAlignment="1">
      <alignment horizontal="center" vertical="center"/>
    </xf>
    <xf numFmtId="0" fontId="9" fillId="0" borderId="45" xfId="0" applyFont="1" applyFill="1" applyBorder="1" applyAlignment="1">
      <alignment horizontal="center" vertical="center" shrinkToFit="1"/>
    </xf>
    <xf numFmtId="0" fontId="9" fillId="0" borderId="62" xfId="0" applyFont="1" applyFill="1" applyBorder="1" applyAlignment="1">
      <alignment horizontal="center" vertical="center" shrinkToFit="1"/>
    </xf>
    <xf numFmtId="40" fontId="9" fillId="0" borderId="63" xfId="0" applyNumberFormat="1" applyFont="1" applyBorder="1" applyAlignment="1">
      <alignment horizontal="center" vertical="center" shrinkToFit="1"/>
    </xf>
    <xf numFmtId="168" fontId="9" fillId="0" borderId="64" xfId="0" applyNumberFormat="1" applyFont="1" applyBorder="1" applyAlignment="1">
      <alignment horizontal="center" vertical="center" shrinkToFit="1"/>
    </xf>
    <xf numFmtId="168" fontId="9" fillId="0" borderId="65" xfId="0" applyNumberFormat="1" applyFont="1" applyBorder="1" applyAlignment="1">
      <alignment horizontal="center" vertical="center" shrinkToFit="1"/>
    </xf>
    <xf numFmtId="168" fontId="9" fillId="0" borderId="0" xfId="0" applyNumberFormat="1" applyFont="1" applyBorder="1" applyAlignment="1">
      <alignment horizontal="center" vertical="center" shrinkToFit="1"/>
    </xf>
    <xf numFmtId="0" fontId="11" fillId="0" borderId="48" xfId="0" applyFont="1" applyBorder="1" applyAlignment="1">
      <alignment vertical="center"/>
    </xf>
    <xf numFmtId="0" fontId="2" fillId="3" borderId="44" xfId="0" applyFont="1" applyFill="1" applyBorder="1" applyAlignment="1">
      <alignment horizontal="left" vertical="center"/>
    </xf>
    <xf numFmtId="0" fontId="3" fillId="3" borderId="45" xfId="0" applyFont="1" applyFill="1" applyBorder="1" applyAlignment="1">
      <alignment horizontal="center" vertical="center"/>
    </xf>
    <xf numFmtId="0" fontId="3" fillId="3" borderId="66" xfId="0" applyFont="1" applyFill="1" applyBorder="1" applyAlignment="1">
      <alignment horizontal="center" vertical="center"/>
    </xf>
    <xf numFmtId="0" fontId="9" fillId="0" borderId="67" xfId="0" applyFont="1" applyFill="1" applyBorder="1" applyAlignment="1">
      <alignment horizontal="center" vertical="center" shrinkToFit="1"/>
    </xf>
    <xf numFmtId="0" fontId="9" fillId="0" borderId="48" xfId="0" applyFont="1" applyFill="1" applyBorder="1" applyAlignment="1">
      <alignment horizontal="center" vertical="center" shrinkToFit="1"/>
    </xf>
    <xf numFmtId="40" fontId="9" fillId="0" borderId="68" xfId="0" applyNumberFormat="1" applyFont="1" applyBorder="1" applyAlignment="1">
      <alignment horizontal="center" vertical="center" shrinkToFit="1"/>
    </xf>
    <xf numFmtId="168" fontId="9" fillId="0" borderId="66" xfId="0" applyNumberFormat="1" applyFont="1" applyBorder="1" applyAlignment="1">
      <alignment horizontal="center" vertical="center" shrinkToFit="1"/>
    </xf>
    <xf numFmtId="168" fontId="9" fillId="0" borderId="69" xfId="0" applyNumberFormat="1" applyFont="1" applyBorder="1" applyAlignment="1">
      <alignment horizontal="center" vertical="center" shrinkToFit="1"/>
    </xf>
    <xf numFmtId="0" fontId="5" fillId="0" borderId="48" xfId="0" applyFont="1" applyBorder="1" applyAlignment="1">
      <alignment vertical="center"/>
    </xf>
    <xf numFmtId="0" fontId="9" fillId="0" borderId="70" xfId="0" applyFont="1" applyFill="1" applyBorder="1" applyAlignment="1">
      <alignment horizontal="center" vertical="center" shrinkToFit="1"/>
    </xf>
    <xf numFmtId="0" fontId="9" fillId="0" borderId="71" xfId="0" applyFont="1" applyFill="1" applyBorder="1" applyAlignment="1">
      <alignment horizontal="center" vertical="center" shrinkToFit="1"/>
    </xf>
    <xf numFmtId="40" fontId="9" fillId="0" borderId="72" xfId="0" applyNumberFormat="1" applyFont="1" applyBorder="1" applyAlignment="1">
      <alignment horizontal="center" vertical="center" shrinkToFit="1"/>
    </xf>
    <xf numFmtId="168" fontId="9" fillId="0" borderId="73" xfId="0" applyNumberFormat="1" applyFont="1" applyBorder="1" applyAlignment="1">
      <alignment horizontal="center" vertical="center" shrinkToFit="1"/>
    </xf>
    <xf numFmtId="168" fontId="9" fillId="0" borderId="74" xfId="0" applyNumberFormat="1" applyFont="1" applyBorder="1" applyAlignment="1">
      <alignment horizontal="center" vertical="center" shrinkToFit="1"/>
    </xf>
    <xf numFmtId="0" fontId="3" fillId="3" borderId="75" xfId="0" applyFont="1" applyFill="1" applyBorder="1" applyAlignment="1">
      <alignment horizontal="center" vertical="center"/>
    </xf>
    <xf numFmtId="0" fontId="9" fillId="0" borderId="76" xfId="0" applyFont="1" applyFill="1" applyBorder="1" applyAlignment="1">
      <alignment horizontal="center" vertical="center" shrinkToFit="1"/>
    </xf>
    <xf numFmtId="0" fontId="9" fillId="0" borderId="77" xfId="0" applyFont="1" applyFill="1" applyBorder="1" applyAlignment="1">
      <alignment horizontal="center" vertical="center" shrinkToFit="1"/>
    </xf>
    <xf numFmtId="40" fontId="9" fillId="0" borderId="78" xfId="0" applyNumberFormat="1" applyFont="1" applyBorder="1" applyAlignment="1">
      <alignment horizontal="center" vertical="center" shrinkToFit="1"/>
    </xf>
    <xf numFmtId="168" fontId="9" fillId="0" borderId="75" xfId="0" applyNumberFormat="1" applyFont="1" applyBorder="1" applyAlignment="1">
      <alignment horizontal="center" vertical="center" shrinkToFit="1"/>
    </xf>
    <xf numFmtId="168" fontId="9" fillId="0" borderId="79" xfId="0" applyNumberFormat="1" applyFont="1" applyBorder="1" applyAlignment="1">
      <alignment horizontal="center" vertical="center" shrinkToFit="1"/>
    </xf>
    <xf numFmtId="0" fontId="3" fillId="3" borderId="45" xfId="0" applyFont="1" applyFill="1" applyBorder="1" applyAlignment="1">
      <alignment horizontal="right" vertical="center"/>
    </xf>
    <xf numFmtId="0" fontId="3" fillId="3" borderId="7" xfId="0" applyFont="1" applyFill="1" applyBorder="1" applyAlignment="1">
      <alignment horizontal="right" vertical="center"/>
    </xf>
    <xf numFmtId="169" fontId="13" fillId="0" borderId="7" xfId="0" applyNumberFormat="1" applyFont="1" applyBorder="1" applyAlignment="1">
      <alignment horizontal="center" vertical="center"/>
    </xf>
    <xf numFmtId="0" fontId="13" fillId="0" borderId="37" xfId="0" applyFont="1" applyFill="1" applyBorder="1" applyAlignment="1">
      <alignment horizontal="left" vertical="center" wrapText="1"/>
    </xf>
    <xf numFmtId="167" fontId="13" fillId="0" borderId="37" xfId="0" applyNumberFormat="1" applyFont="1" applyBorder="1" applyAlignment="1">
      <alignment horizontal="center" vertical="center"/>
    </xf>
    <xf numFmtId="0" fontId="0" fillId="0" borderId="38" xfId="0" applyBorder="1"/>
    <xf numFmtId="0" fontId="0" fillId="0" borderId="57" xfId="0" applyBorder="1"/>
    <xf numFmtId="0" fontId="0" fillId="0" borderId="0" xfId="0" applyBorder="1"/>
    <xf numFmtId="0" fontId="3" fillId="3" borderId="64" xfId="0" applyFont="1" applyFill="1" applyBorder="1" applyAlignment="1">
      <alignment vertical="center"/>
    </xf>
    <xf numFmtId="0" fontId="9" fillId="0" borderId="80" xfId="0" applyFont="1" applyFill="1" applyBorder="1" applyAlignment="1">
      <alignment horizontal="center" vertical="center" shrinkToFit="1"/>
    </xf>
    <xf numFmtId="168" fontId="9" fillId="0" borderId="81" xfId="0" applyNumberFormat="1" applyFont="1" applyFill="1" applyBorder="1" applyAlignment="1">
      <alignment horizontal="center" vertical="center" shrinkToFit="1"/>
    </xf>
    <xf numFmtId="168" fontId="9" fillId="0" borderId="61" xfId="0" applyNumberFormat="1" applyFont="1" applyBorder="1" applyAlignment="1">
      <alignment horizontal="center" vertical="center" shrinkToFit="1"/>
    </xf>
    <xf numFmtId="168" fontId="9" fillId="0" borderId="82" xfId="0" applyNumberFormat="1" applyFont="1" applyBorder="1" applyAlignment="1">
      <alignment horizontal="center" vertical="center" shrinkToFit="1"/>
    </xf>
    <xf numFmtId="168" fontId="9" fillId="0" borderId="68" xfId="0" applyNumberFormat="1" applyFont="1" applyBorder="1" applyAlignment="1">
      <alignment horizontal="center" vertical="center" shrinkToFit="1"/>
    </xf>
    <xf numFmtId="0" fontId="0" fillId="0" borderId="9" xfId="0" applyBorder="1" applyAlignment="1">
      <alignment horizontal="center"/>
    </xf>
    <xf numFmtId="168" fontId="9" fillId="0" borderId="78" xfId="0" applyNumberFormat="1" applyFont="1" applyBorder="1" applyAlignment="1">
      <alignment horizontal="center" vertical="center" shrinkToFit="1"/>
    </xf>
    <xf numFmtId="0" fontId="3" fillId="3" borderId="5" xfId="0" applyFont="1" applyFill="1" applyBorder="1" applyAlignment="1">
      <alignment horizontal="right" vertical="center"/>
    </xf>
    <xf numFmtId="0" fontId="3" fillId="3" borderId="37" xfId="0" applyFont="1" applyFill="1" applyBorder="1" applyAlignment="1">
      <alignment horizontal="right" vertical="center"/>
    </xf>
    <xf numFmtId="167" fontId="13" fillId="0" borderId="7" xfId="0" applyNumberFormat="1" applyFont="1" applyBorder="1" applyAlignment="1">
      <alignment horizontal="center" vertical="center"/>
    </xf>
    <xf numFmtId="0" fontId="14" fillId="0" borderId="37" xfId="0" applyFont="1" applyFill="1" applyBorder="1" applyAlignment="1">
      <alignment horizontal="left" vertical="center" wrapText="1"/>
    </xf>
    <xf numFmtId="0" fontId="3" fillId="3" borderId="60" xfId="0" applyFont="1" applyFill="1" applyBorder="1" applyAlignment="1">
      <alignment horizontal="left" vertical="center"/>
    </xf>
    <xf numFmtId="0" fontId="3" fillId="3" borderId="37" xfId="0" applyFont="1" applyFill="1" applyBorder="1" applyAlignment="1">
      <alignment vertical="center" shrinkToFit="1"/>
    </xf>
    <xf numFmtId="167" fontId="9" fillId="0" borderId="7" xfId="0" applyNumberFormat="1" applyFont="1" applyBorder="1" applyAlignment="1">
      <alignment horizontal="center" vertical="center"/>
    </xf>
    <xf numFmtId="0" fontId="1" fillId="0" borderId="37" xfId="0" applyFont="1" applyFill="1" applyBorder="1" applyAlignment="1">
      <alignment horizontal="left" vertical="center" wrapText="1"/>
    </xf>
    <xf numFmtId="167" fontId="9" fillId="0" borderId="37" xfId="0" applyNumberFormat="1" applyFont="1" applyBorder="1" applyAlignment="1">
      <alignment horizontal="center" vertical="center"/>
    </xf>
    <xf numFmtId="0" fontId="1" fillId="0" borderId="38" xfId="0" applyFont="1" applyBorder="1"/>
    <xf numFmtId="0" fontId="1" fillId="0" borderId="57" xfId="0" applyFont="1" applyBorder="1"/>
    <xf numFmtId="0" fontId="1" fillId="0" borderId="0" xfId="0" applyFont="1" applyBorder="1"/>
    <xf numFmtId="167" fontId="9" fillId="0" borderId="13" xfId="0" applyNumberFormat="1" applyFont="1" applyBorder="1" applyAlignment="1">
      <alignment horizontal="center" vertical="center"/>
    </xf>
    <xf numFmtId="0" fontId="12" fillId="3" borderId="28" xfId="0" applyFont="1" applyFill="1" applyBorder="1" applyAlignment="1">
      <alignment horizontal="right" vertical="center" wrapText="1"/>
    </xf>
    <xf numFmtId="40" fontId="7" fillId="3" borderId="45" xfId="0" applyNumberFormat="1" applyFont="1" applyFill="1" applyBorder="1" applyAlignment="1">
      <alignment horizontal="center" vertical="center"/>
    </xf>
    <xf numFmtId="0" fontId="14" fillId="3" borderId="37" xfId="0" applyFont="1" applyFill="1" applyBorder="1" applyAlignment="1">
      <alignment horizontal="left" vertical="center" wrapText="1"/>
    </xf>
    <xf numFmtId="167" fontId="13" fillId="3" borderId="37" xfId="0" applyNumberFormat="1" applyFont="1" applyFill="1" applyBorder="1" applyAlignment="1">
      <alignment horizontal="center" vertical="center"/>
    </xf>
    <xf numFmtId="0" fontId="0" fillId="3" borderId="38" xfId="0" applyFill="1" applyBorder="1"/>
    <xf numFmtId="0" fontId="0" fillId="3" borderId="57" xfId="0" applyFill="1" applyBorder="1"/>
    <xf numFmtId="0" fontId="0" fillId="3" borderId="0" xfId="0" applyFill="1" applyBorder="1"/>
    <xf numFmtId="0" fontId="7" fillId="5" borderId="31" xfId="0" applyFont="1" applyFill="1" applyBorder="1" applyAlignment="1">
      <alignment vertical="center"/>
    </xf>
    <xf numFmtId="0" fontId="2" fillId="5" borderId="32" xfId="0" applyFont="1" applyFill="1" applyBorder="1" applyAlignment="1">
      <alignment vertical="center"/>
    </xf>
    <xf numFmtId="0" fontId="1" fillId="5" borderId="33" xfId="0" applyFont="1" applyFill="1" applyBorder="1" applyAlignment="1">
      <alignment horizontal="right" vertical="center"/>
    </xf>
    <xf numFmtId="0" fontId="3" fillId="5" borderId="83" xfId="0" applyFont="1" applyFill="1" applyBorder="1" applyAlignment="1">
      <alignment horizontal="center" vertical="center"/>
    </xf>
    <xf numFmtId="0" fontId="9" fillId="0" borderId="15" xfId="0" applyFont="1" applyFill="1" applyBorder="1" applyAlignment="1">
      <alignment horizontal="center" vertical="center"/>
    </xf>
    <xf numFmtId="164" fontId="9" fillId="0" borderId="15" xfId="0" applyNumberFormat="1" applyFont="1" applyFill="1" applyBorder="1" applyAlignment="1">
      <alignment horizontal="center" vertical="center"/>
    </xf>
    <xf numFmtId="164" fontId="9" fillId="0" borderId="29" xfId="0" applyNumberFormat="1" applyFont="1" applyFill="1" applyBorder="1" applyAlignment="1">
      <alignment horizontal="center" vertical="center"/>
    </xf>
    <xf numFmtId="164" fontId="9" fillId="0" borderId="0" xfId="0" applyNumberFormat="1" applyFont="1" applyFill="1" applyBorder="1" applyAlignment="1">
      <alignment horizontal="center" vertical="center"/>
    </xf>
    <xf numFmtId="0" fontId="7" fillId="5" borderId="44" xfId="0" applyFont="1" applyFill="1" applyBorder="1" applyAlignment="1">
      <alignment vertical="center"/>
    </xf>
    <xf numFmtId="0" fontId="2" fillId="5" borderId="37" xfId="0" applyFont="1" applyFill="1" applyBorder="1" applyAlignment="1">
      <alignment vertical="center" textRotation="255"/>
    </xf>
    <xf numFmtId="0" fontId="1" fillId="5" borderId="38" xfId="0" applyFont="1" applyFill="1" applyBorder="1" applyAlignment="1">
      <alignment horizontal="right" vertical="center"/>
    </xf>
    <xf numFmtId="0" fontId="3" fillId="5" borderId="34" xfId="0" applyFont="1" applyFill="1" applyBorder="1" applyAlignment="1">
      <alignment horizontal="center" vertical="center" shrinkToFit="1"/>
    </xf>
    <xf numFmtId="0" fontId="3" fillId="5" borderId="80" xfId="0" applyFont="1" applyFill="1" applyBorder="1" applyAlignment="1">
      <alignment horizontal="center" vertical="center" wrapText="1"/>
    </xf>
    <xf numFmtId="0" fontId="3" fillId="5" borderId="33" xfId="0" applyFont="1" applyFill="1" applyBorder="1" applyAlignment="1">
      <alignment horizontal="center" vertical="center" wrapText="1" shrinkToFit="1"/>
    </xf>
    <xf numFmtId="0" fontId="3" fillId="5" borderId="60" xfId="0" applyFont="1" applyFill="1" applyBorder="1" applyAlignment="1">
      <alignment horizontal="center" vertical="center" wrapText="1"/>
    </xf>
    <xf numFmtId="0" fontId="3" fillId="5" borderId="84" xfId="0" applyFont="1" applyFill="1" applyBorder="1" applyAlignment="1">
      <alignment horizontal="center" vertical="center" wrapText="1"/>
    </xf>
    <xf numFmtId="0" fontId="3" fillId="5" borderId="0" xfId="0" applyFont="1" applyFill="1" applyBorder="1" applyAlignment="1">
      <alignment horizontal="center" vertical="center" wrapText="1"/>
    </xf>
    <xf numFmtId="0" fontId="2" fillId="5" borderId="44" xfId="0" applyFont="1" applyFill="1" applyBorder="1" applyAlignment="1">
      <alignment vertical="center"/>
    </xf>
    <xf numFmtId="0" fontId="3" fillId="5" borderId="85" xfId="0" applyFont="1" applyFill="1" applyBorder="1" applyAlignment="1">
      <alignment horizontal="center" vertical="center"/>
    </xf>
    <xf numFmtId="0" fontId="3" fillId="0" borderId="85" xfId="0" applyFont="1" applyFill="1" applyBorder="1" applyAlignment="1">
      <alignment vertical="center" shrinkToFit="1"/>
    </xf>
    <xf numFmtId="164" fontId="9" fillId="0" borderId="47" xfId="0" applyNumberFormat="1" applyFont="1" applyFill="1" applyBorder="1" applyAlignment="1">
      <alignment horizontal="center" vertical="center" shrinkToFit="1"/>
    </xf>
    <xf numFmtId="40" fontId="9" fillId="0" borderId="86" xfId="0" applyNumberFormat="1" applyFont="1" applyFill="1" applyBorder="1" applyAlignment="1">
      <alignment horizontal="center" vertical="center" shrinkToFit="1"/>
    </xf>
    <xf numFmtId="40" fontId="9" fillId="0" borderId="61" xfId="0" applyNumberFormat="1" applyFont="1" applyFill="1" applyBorder="1" applyAlignment="1">
      <alignment horizontal="center" vertical="center" shrinkToFit="1"/>
    </xf>
    <xf numFmtId="40" fontId="9" fillId="0" borderId="82" xfId="0" applyNumberFormat="1" applyFont="1" applyFill="1" applyBorder="1" applyAlignment="1">
      <alignment horizontal="center" vertical="center" shrinkToFit="1"/>
    </xf>
    <xf numFmtId="40" fontId="9" fillId="0" borderId="0" xfId="0" applyNumberFormat="1" applyFont="1" applyFill="1" applyBorder="1" applyAlignment="1">
      <alignment horizontal="center" vertical="center" shrinkToFit="1"/>
    </xf>
    <xf numFmtId="0" fontId="2" fillId="5" borderId="45" xfId="0" applyFont="1" applyFill="1" applyBorder="1" applyAlignment="1">
      <alignment vertical="center"/>
    </xf>
    <xf numFmtId="0" fontId="2" fillId="5" borderId="46" xfId="0" applyFont="1" applyFill="1" applyBorder="1" applyAlignment="1">
      <alignment vertical="center"/>
    </xf>
    <xf numFmtId="0" fontId="3" fillId="5" borderId="67" xfId="0" applyFont="1" applyFill="1" applyBorder="1" applyAlignment="1">
      <alignment horizontal="center" vertical="center"/>
    </xf>
    <xf numFmtId="0" fontId="3" fillId="0" borderId="67" xfId="0" applyFont="1" applyFill="1" applyBorder="1" applyAlignment="1">
      <alignment vertical="center" shrinkToFit="1"/>
    </xf>
    <xf numFmtId="164" fontId="9" fillId="0" borderId="48" xfId="0" applyNumberFormat="1" applyFont="1" applyBorder="1" applyAlignment="1">
      <alignment horizontal="center" vertical="center" shrinkToFit="1"/>
    </xf>
    <xf numFmtId="40" fontId="9" fillId="0" borderId="87" xfId="0" applyNumberFormat="1" applyFont="1" applyFill="1" applyBorder="1" applyAlignment="1">
      <alignment horizontal="center" vertical="center" shrinkToFit="1"/>
    </xf>
    <xf numFmtId="40" fontId="9" fillId="0" borderId="66" xfId="0" applyNumberFormat="1" applyFont="1" applyBorder="1" applyAlignment="1">
      <alignment horizontal="center" vertical="center" shrinkToFit="1"/>
    </xf>
    <xf numFmtId="40" fontId="9" fillId="0" borderId="69" xfId="0" applyNumberFormat="1" applyFont="1" applyBorder="1" applyAlignment="1">
      <alignment horizontal="center" vertical="center" shrinkToFit="1"/>
    </xf>
    <xf numFmtId="40" fontId="9" fillId="0" borderId="0" xfId="0" applyNumberFormat="1" applyFont="1" applyBorder="1" applyAlignment="1">
      <alignment horizontal="center" vertical="center" shrinkToFit="1"/>
    </xf>
    <xf numFmtId="164" fontId="9" fillId="0" borderId="48" xfId="0" applyNumberFormat="1" applyFont="1" applyFill="1" applyBorder="1" applyAlignment="1">
      <alignment horizontal="center" vertical="center" shrinkToFit="1"/>
    </xf>
    <xf numFmtId="0" fontId="3" fillId="5" borderId="70" xfId="0" applyFont="1" applyFill="1" applyBorder="1" applyAlignment="1">
      <alignment horizontal="center" vertical="center"/>
    </xf>
    <xf numFmtId="0" fontId="3" fillId="0" borderId="70" xfId="0" applyFont="1" applyFill="1" applyBorder="1" applyAlignment="1">
      <alignment vertical="center" shrinkToFit="1"/>
    </xf>
    <xf numFmtId="164" fontId="9" fillId="0" borderId="71" xfId="0" applyNumberFormat="1" applyFont="1" applyFill="1" applyBorder="1" applyAlignment="1">
      <alignment horizontal="center" vertical="center" shrinkToFit="1"/>
    </xf>
    <xf numFmtId="40" fontId="9" fillId="0" borderId="88" xfId="0" applyNumberFormat="1" applyFont="1" applyFill="1" applyBorder="1" applyAlignment="1">
      <alignment horizontal="center" vertical="center" shrinkToFit="1"/>
    </xf>
    <xf numFmtId="40" fontId="9" fillId="0" borderId="73" xfId="0" applyNumberFormat="1" applyFont="1" applyBorder="1" applyAlignment="1">
      <alignment horizontal="center" vertical="center" shrinkToFit="1"/>
    </xf>
    <xf numFmtId="40" fontId="9" fillId="0" borderId="74" xfId="0" applyNumberFormat="1" applyFont="1" applyBorder="1" applyAlignment="1">
      <alignment horizontal="center" vertical="center" shrinkToFit="1"/>
    </xf>
    <xf numFmtId="0" fontId="2" fillId="5" borderId="7" xfId="0" applyFont="1" applyFill="1" applyBorder="1" applyAlignment="1">
      <alignment vertical="center"/>
    </xf>
    <xf numFmtId="0" fontId="2" fillId="5" borderId="38" xfId="0" applyFont="1" applyFill="1" applyBorder="1" applyAlignment="1">
      <alignment vertical="center"/>
    </xf>
    <xf numFmtId="0" fontId="3" fillId="5" borderId="75" xfId="0" applyFont="1" applyFill="1" applyBorder="1" applyAlignment="1">
      <alignment horizontal="center" vertical="center"/>
    </xf>
    <xf numFmtId="0" fontId="3" fillId="0" borderId="76" xfId="0" applyFont="1" applyFill="1" applyBorder="1" applyAlignment="1">
      <alignment vertical="center" shrinkToFit="1"/>
    </xf>
    <xf numFmtId="164" fontId="9" fillId="0" borderId="77" xfId="0" applyNumberFormat="1" applyFont="1" applyFill="1" applyBorder="1" applyAlignment="1">
      <alignment horizontal="center" vertical="center" shrinkToFit="1"/>
    </xf>
    <xf numFmtId="40" fontId="9" fillId="0" borderId="89" xfId="0" applyNumberFormat="1" applyFont="1" applyBorder="1" applyAlignment="1">
      <alignment horizontal="center" vertical="center" shrinkToFit="1"/>
    </xf>
    <xf numFmtId="40" fontId="9" fillId="0" borderId="75" xfId="0" applyNumberFormat="1" applyFont="1" applyBorder="1" applyAlignment="1">
      <alignment horizontal="center" vertical="center" shrinkToFit="1"/>
    </xf>
    <xf numFmtId="40" fontId="9" fillId="0" borderId="79" xfId="0" applyNumberFormat="1" applyFont="1" applyBorder="1" applyAlignment="1">
      <alignment horizontal="center" vertical="center" shrinkToFit="1"/>
    </xf>
    <xf numFmtId="0" fontId="12" fillId="5" borderId="0" xfId="0" applyFont="1" applyFill="1" applyBorder="1" applyAlignment="1">
      <alignment horizontal="right" vertical="center" wrapText="1"/>
    </xf>
    <xf numFmtId="169" fontId="7" fillId="5" borderId="13" xfId="0" applyNumberFormat="1" applyFon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left" vertical="center" wrapText="1"/>
    </xf>
    <xf numFmtId="0" fontId="0" fillId="5" borderId="0" xfId="0" applyFill="1" applyBorder="1"/>
    <xf numFmtId="0" fontId="0" fillId="5" borderId="46" xfId="0" applyFill="1" applyBorder="1"/>
    <xf numFmtId="0" fontId="0" fillId="5" borderId="90" xfId="0" applyFill="1" applyBorder="1"/>
    <xf numFmtId="0" fontId="7" fillId="6" borderId="31" xfId="0" applyFont="1" applyFill="1" applyBorder="1" applyAlignment="1">
      <alignment vertical="center" shrinkToFit="1"/>
    </xf>
    <xf numFmtId="0" fontId="3" fillId="6" borderId="13" xfId="0" applyFont="1" applyFill="1" applyBorder="1" applyAlignment="1">
      <alignment horizontal="center" vertical="center" shrinkToFit="1"/>
    </xf>
    <xf numFmtId="0" fontId="3" fillId="6" borderId="58" xfId="0" applyFont="1" applyFill="1" applyBorder="1" applyAlignment="1">
      <alignment horizontal="center" vertical="center" shrinkToFit="1"/>
    </xf>
    <xf numFmtId="0" fontId="3" fillId="6" borderId="91" xfId="0" applyFont="1" applyFill="1" applyBorder="1" applyAlignment="1">
      <alignment horizontal="center" vertical="center" shrinkToFit="1"/>
    </xf>
    <xf numFmtId="0" fontId="15" fillId="6" borderId="59" xfId="0" applyFont="1" applyFill="1" applyBorder="1" applyAlignment="1">
      <alignment horizontal="center" vertical="center" shrinkToFit="1"/>
    </xf>
    <xf numFmtId="0" fontId="15" fillId="6" borderId="92" xfId="0" applyFont="1" applyFill="1" applyBorder="1" applyAlignment="1">
      <alignment horizontal="center" vertical="center" shrinkToFit="1"/>
    </xf>
    <xf numFmtId="0" fontId="15" fillId="6" borderId="0" xfId="0" applyFont="1" applyFill="1" applyBorder="1" applyAlignment="1">
      <alignment horizontal="center" vertical="center" shrinkToFit="1"/>
    </xf>
    <xf numFmtId="0" fontId="7" fillId="6" borderId="93" xfId="0" applyFont="1" applyFill="1" applyBorder="1" applyAlignment="1">
      <alignment vertical="center" shrinkToFit="1"/>
    </xf>
    <xf numFmtId="170" fontId="9" fillId="0" borderId="34" xfId="0" applyNumberFormat="1" applyFont="1" applyFill="1" applyBorder="1" applyAlignment="1">
      <alignment horizontal="center" vertical="center" wrapText="1"/>
    </xf>
    <xf numFmtId="170" fontId="9" fillId="0" borderId="80" xfId="0" applyNumberFormat="1" applyFont="1" applyFill="1" applyBorder="1" applyAlignment="1">
      <alignment horizontal="center" vertical="center" wrapText="1"/>
    </xf>
    <xf numFmtId="170" fontId="9" fillId="0" borderId="94" xfId="0" applyNumberFormat="1" applyFont="1" applyBorder="1" applyAlignment="1">
      <alignment horizontal="center" vertical="center" wrapText="1"/>
    </xf>
    <xf numFmtId="170" fontId="16" fillId="0" borderId="95" xfId="0" applyNumberFormat="1" applyFont="1" applyBorder="1" applyAlignment="1">
      <alignment horizontal="center" vertical="center" wrapText="1"/>
    </xf>
    <xf numFmtId="170" fontId="16" fillId="0" borderId="96" xfId="0" applyNumberFormat="1" applyFont="1" applyBorder="1" applyAlignment="1">
      <alignment horizontal="center" vertical="center" wrapText="1"/>
    </xf>
    <xf numFmtId="170" fontId="16" fillId="0" borderId="0" xfId="0" applyNumberFormat="1" applyFont="1" applyBorder="1" applyAlignment="1">
      <alignment horizontal="center" vertical="center" wrapText="1"/>
    </xf>
    <xf numFmtId="0" fontId="2" fillId="6" borderId="44" xfId="0" applyFont="1" applyFill="1" applyBorder="1" applyAlignment="1">
      <alignment vertical="center"/>
    </xf>
    <xf numFmtId="167" fontId="9" fillId="0" borderId="13" xfId="0" applyNumberFormat="1" applyFont="1" applyFill="1" applyBorder="1" applyAlignment="1">
      <alignment horizontal="center" vertical="center" wrapText="1"/>
    </xf>
    <xf numFmtId="167" fontId="9" fillId="0" borderId="58" xfId="0" applyNumberFormat="1" applyFont="1" applyFill="1" applyBorder="1" applyAlignment="1">
      <alignment horizontal="center" vertical="center" wrapText="1"/>
    </xf>
    <xf numFmtId="167" fontId="9" fillId="0" borderId="91" xfId="0" applyNumberFormat="1" applyFont="1" applyBorder="1" applyAlignment="1">
      <alignment horizontal="center" vertical="center" wrapText="1"/>
    </xf>
    <xf numFmtId="167" fontId="16" fillId="0" borderId="59" xfId="0" applyNumberFormat="1" applyFont="1" applyBorder="1" applyAlignment="1">
      <alignment horizontal="center" vertical="center" wrapText="1"/>
    </xf>
    <xf numFmtId="167" fontId="16" fillId="0" borderId="92" xfId="0" applyNumberFormat="1" applyFont="1" applyBorder="1" applyAlignment="1">
      <alignment horizontal="center" vertical="center" wrapText="1"/>
    </xf>
    <xf numFmtId="167" fontId="16" fillId="0" borderId="0" xfId="0" applyNumberFormat="1" applyFont="1" applyBorder="1" applyAlignment="1">
      <alignment horizontal="center" vertical="center" wrapText="1"/>
    </xf>
    <xf numFmtId="0" fontId="7" fillId="6" borderId="44" xfId="0" applyFont="1" applyFill="1" applyBorder="1" applyAlignment="1">
      <alignment horizontal="right" vertical="center"/>
    </xf>
    <xf numFmtId="0" fontId="12" fillId="6" borderId="0" xfId="0" applyFont="1" applyFill="1" applyBorder="1" applyAlignment="1">
      <alignment horizontal="right" vertical="center" wrapText="1"/>
    </xf>
    <xf numFmtId="40" fontId="7" fillId="6" borderId="34" xfId="0" applyNumberFormat="1" applyFont="1" applyFill="1" applyBorder="1" applyAlignment="1">
      <alignment horizontal="center" vertical="center"/>
    </xf>
    <xf numFmtId="0" fontId="14" fillId="6" borderId="32" xfId="0" applyFont="1" applyFill="1" applyBorder="1" applyAlignment="1">
      <alignment horizontal="left" vertical="center" wrapText="1"/>
    </xf>
    <xf numFmtId="0" fontId="0" fillId="6" borderId="32" xfId="0" applyFill="1" applyBorder="1"/>
    <xf numFmtId="168" fontId="13" fillId="6" borderId="33" xfId="0" applyNumberFormat="1" applyFont="1" applyFill="1" applyBorder="1" applyAlignment="1">
      <alignment horizontal="center" vertical="center"/>
    </xf>
    <xf numFmtId="168" fontId="13" fillId="6" borderId="35" xfId="0" applyNumberFormat="1" applyFont="1" applyFill="1" applyBorder="1" applyAlignment="1">
      <alignment horizontal="center" vertical="center"/>
    </xf>
    <xf numFmtId="168" fontId="13" fillId="6" borderId="0" xfId="0" applyNumberFormat="1" applyFont="1" applyFill="1" applyBorder="1" applyAlignment="1">
      <alignment horizontal="center" vertical="center"/>
    </xf>
    <xf numFmtId="0" fontId="7" fillId="7" borderId="97" xfId="0" applyFont="1" applyFill="1" applyBorder="1" applyAlignment="1">
      <alignment vertical="top" wrapText="1"/>
    </xf>
    <xf numFmtId="0" fontId="3" fillId="0" borderId="34" xfId="0" applyFont="1" applyFill="1" applyBorder="1" applyAlignment="1">
      <alignment horizontal="center" vertical="center" shrinkToFit="1"/>
    </xf>
    <xf numFmtId="171" fontId="9" fillId="0" borderId="32" xfId="0" applyNumberFormat="1" applyFont="1" applyFill="1" applyBorder="1" applyAlignment="1">
      <alignment horizontal="right" vertical="center"/>
    </xf>
    <xf numFmtId="0" fontId="2" fillId="0" borderId="32" xfId="0" applyFont="1" applyFill="1" applyBorder="1" applyAlignment="1">
      <alignment horizontal="left" vertical="center" shrinkToFit="1"/>
    </xf>
    <xf numFmtId="169" fontId="9" fillId="0" borderId="33" xfId="0" applyNumberFormat="1" applyFont="1" applyFill="1" applyBorder="1" applyAlignment="1">
      <alignment horizontal="center" vertical="center"/>
    </xf>
    <xf numFmtId="169" fontId="9" fillId="0" borderId="35" xfId="0" applyNumberFormat="1" applyFont="1" applyFill="1" applyBorder="1" applyAlignment="1">
      <alignment horizontal="center" vertical="center"/>
    </xf>
    <xf numFmtId="169" fontId="9" fillId="0" borderId="0" xfId="0" applyNumberFormat="1" applyFont="1" applyFill="1" applyBorder="1" applyAlignment="1">
      <alignment horizontal="center" vertical="center"/>
    </xf>
    <xf numFmtId="0" fontId="7" fillId="7" borderId="44" xfId="0" applyFont="1" applyFill="1" applyBorder="1" applyAlignment="1">
      <alignment vertical="center"/>
    </xf>
    <xf numFmtId="0" fontId="3" fillId="7" borderId="34" xfId="0" applyFont="1" applyFill="1" applyBorder="1" applyAlignment="1">
      <alignment horizontal="distributed" vertical="center"/>
    </xf>
    <xf numFmtId="0" fontId="3" fillId="7" borderId="85" xfId="0" applyFont="1" applyFill="1" applyBorder="1" applyAlignment="1">
      <alignment vertical="center" shrinkToFit="1"/>
    </xf>
    <xf numFmtId="0" fontId="9" fillId="0" borderId="0" xfId="0" applyNumberFormat="1" applyFont="1" applyBorder="1" applyAlignment="1">
      <alignment vertical="center" shrinkToFit="1"/>
    </xf>
    <xf numFmtId="0" fontId="2" fillId="7" borderId="44" xfId="0" applyFont="1" applyFill="1" applyBorder="1" applyAlignment="1">
      <alignment vertical="center"/>
    </xf>
    <xf numFmtId="0" fontId="2" fillId="7" borderId="45" xfId="0" applyFont="1" applyFill="1" applyBorder="1" applyAlignment="1">
      <alignment horizontal="distributed" vertical="center"/>
    </xf>
    <xf numFmtId="164" fontId="3" fillId="7" borderId="101" xfId="0" applyNumberFormat="1" applyFont="1" applyFill="1" applyBorder="1" applyAlignment="1">
      <alignment horizontal="distributed" vertical="center" shrinkToFit="1"/>
    </xf>
    <xf numFmtId="0" fontId="9" fillId="0" borderId="87" xfId="0" applyFont="1" applyBorder="1" applyAlignment="1">
      <alignment vertical="center" shrinkToFit="1"/>
    </xf>
    <xf numFmtId="0" fontId="9" fillId="0" borderId="87" xfId="0" applyFont="1" applyBorder="1" applyAlignment="1">
      <alignment vertical="center"/>
    </xf>
    <xf numFmtId="0" fontId="0" fillId="0" borderId="102" xfId="0" applyBorder="1"/>
    <xf numFmtId="0" fontId="0" fillId="0" borderId="103" xfId="0" applyBorder="1"/>
    <xf numFmtId="164" fontId="3" fillId="7" borderId="104" xfId="0" applyNumberFormat="1" applyFont="1" applyFill="1" applyBorder="1" applyAlignment="1">
      <alignment horizontal="right" vertical="center" shrinkToFit="1"/>
    </xf>
    <xf numFmtId="0" fontId="9" fillId="0" borderId="0" xfId="0" applyFont="1" applyBorder="1" applyAlignment="1">
      <alignment horizontal="left" vertical="center" shrinkToFit="1"/>
    </xf>
    <xf numFmtId="0" fontId="3" fillId="7" borderId="67" xfId="0" applyFont="1" applyFill="1" applyBorder="1" applyAlignment="1">
      <alignment horizontal="distributed" vertical="center" shrinkToFit="1"/>
    </xf>
    <xf numFmtId="0" fontId="9" fillId="0" borderId="68" xfId="0" applyFont="1" applyBorder="1" applyAlignment="1">
      <alignment horizontal="center" vertical="center" shrinkToFit="1"/>
    </xf>
    <xf numFmtId="164" fontId="3" fillId="7" borderId="30" xfId="0" applyNumberFormat="1" applyFont="1" applyFill="1" applyBorder="1" applyAlignment="1">
      <alignment horizontal="distributed" vertical="center" shrinkToFit="1"/>
    </xf>
    <xf numFmtId="38" fontId="9" fillId="0" borderId="102" xfId="0" applyNumberFormat="1" applyFont="1" applyBorder="1" applyAlignment="1">
      <alignment horizontal="center" vertical="center" wrapText="1"/>
    </xf>
    <xf numFmtId="38" fontId="9" fillId="0" borderId="103" xfId="0" applyNumberFormat="1" applyFont="1" applyBorder="1" applyAlignment="1">
      <alignment horizontal="center" vertical="center" wrapText="1"/>
    </xf>
    <xf numFmtId="38" fontId="9" fillId="0" borderId="0" xfId="0" applyNumberFormat="1" applyFont="1" applyBorder="1" applyAlignment="1">
      <alignment horizontal="center" vertical="center" wrapText="1"/>
    </xf>
    <xf numFmtId="0" fontId="3" fillId="7" borderId="76" xfId="0" applyFont="1" applyFill="1" applyBorder="1" applyAlignment="1">
      <alignment horizontal="center" vertical="center" shrinkToFit="1"/>
    </xf>
    <xf numFmtId="164" fontId="9" fillId="0" borderId="78" xfId="0" applyNumberFormat="1" applyFont="1" applyBorder="1" applyAlignment="1">
      <alignment horizontal="center" vertical="center" shrinkToFit="1"/>
    </xf>
    <xf numFmtId="0" fontId="3" fillId="7" borderId="106" xfId="0" applyNumberFormat="1" applyFont="1" applyFill="1" applyBorder="1" applyAlignment="1">
      <alignment horizontal="distributed" vertical="center" shrinkToFit="1"/>
    </xf>
    <xf numFmtId="40" fontId="9" fillId="0" borderId="107" xfId="0" applyNumberFormat="1" applyFont="1" applyBorder="1" applyAlignment="1">
      <alignment horizontal="center" vertical="center" shrinkToFit="1"/>
    </xf>
    <xf numFmtId="40" fontId="9" fillId="0" borderId="108" xfId="0" applyNumberFormat="1" applyFont="1" applyBorder="1" applyAlignment="1">
      <alignment horizontal="center" vertical="center" shrinkToFit="1"/>
    </xf>
    <xf numFmtId="0" fontId="0" fillId="7" borderId="38" xfId="0" applyFont="1" applyFill="1" applyBorder="1" applyAlignment="1">
      <alignment horizontal="right" vertical="center" wrapText="1"/>
    </xf>
    <xf numFmtId="0" fontId="9" fillId="0" borderId="32" xfId="0" applyFont="1" applyFill="1" applyBorder="1" applyAlignment="1">
      <alignment horizontal="left" vertical="center" wrapText="1"/>
    </xf>
    <xf numFmtId="0" fontId="5" fillId="0" borderId="33" xfId="0" applyFont="1" applyFill="1" applyBorder="1" applyAlignment="1">
      <alignment horizontal="center" vertical="center" shrinkToFit="1"/>
    </xf>
    <xf numFmtId="0" fontId="5" fillId="0" borderId="35" xfId="0" applyFont="1" applyFill="1" applyBorder="1" applyAlignment="1">
      <alignment horizontal="center" vertical="center" shrinkToFit="1"/>
    </xf>
    <xf numFmtId="0" fontId="5" fillId="0" borderId="0" xfId="0" applyFont="1" applyFill="1" applyBorder="1" applyAlignment="1">
      <alignment horizontal="center" vertical="center" shrinkToFit="1"/>
    </xf>
    <xf numFmtId="169" fontId="2" fillId="0" borderId="0" xfId="0" applyNumberFormat="1" applyFont="1" applyFill="1" applyBorder="1" applyAlignment="1">
      <alignment horizontal="center" vertical="center" wrapText="1"/>
    </xf>
    <xf numFmtId="0" fontId="12" fillId="7" borderId="33" xfId="0" applyFont="1" applyFill="1" applyBorder="1" applyAlignment="1">
      <alignment horizontal="right" vertical="center" wrapText="1"/>
    </xf>
    <xf numFmtId="0" fontId="9" fillId="7" borderId="32" xfId="0" applyFont="1" applyFill="1" applyBorder="1" applyAlignment="1">
      <alignment horizontal="left" vertical="center" wrapText="1"/>
    </xf>
    <xf numFmtId="0" fontId="9" fillId="7" borderId="33" xfId="0" applyFont="1" applyFill="1" applyBorder="1" applyAlignment="1">
      <alignment horizontal="center" vertical="center" wrapText="1"/>
    </xf>
    <xf numFmtId="0" fontId="9" fillId="7" borderId="35" xfId="0" applyFont="1" applyFill="1" applyBorder="1" applyAlignment="1">
      <alignment horizontal="center" vertical="center" wrapText="1"/>
    </xf>
    <xf numFmtId="0" fontId="9" fillId="7" borderId="0" xfId="0" applyFont="1" applyFill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3" fillId="8" borderId="93" xfId="0" applyFont="1" applyFill="1" applyBorder="1" applyAlignment="1">
      <alignment horizontal="center" vertical="center"/>
    </xf>
    <xf numFmtId="0" fontId="3" fillId="8" borderId="24" xfId="0" applyFont="1" applyFill="1" applyBorder="1" applyAlignment="1">
      <alignment vertical="center"/>
    </xf>
    <xf numFmtId="0" fontId="3" fillId="8" borderId="22" xfId="0" applyFont="1" applyFill="1" applyBorder="1" applyAlignment="1">
      <alignment vertical="center"/>
    </xf>
    <xf numFmtId="0" fontId="5" fillId="8" borderId="23" xfId="0" applyFont="1" applyFill="1" applyBorder="1"/>
    <xf numFmtId="0" fontId="3" fillId="8" borderId="44" xfId="0" applyFont="1" applyFill="1" applyBorder="1" applyAlignment="1">
      <alignment horizontal="center" vertical="center"/>
    </xf>
    <xf numFmtId="0" fontId="13" fillId="8" borderId="36" xfId="0" applyFont="1" applyFill="1" applyBorder="1" applyAlignment="1">
      <alignment horizontal="distributed" vertical="distributed" shrinkToFit="1"/>
    </xf>
    <xf numFmtId="0" fontId="12" fillId="8" borderId="23" xfId="0" applyFont="1" applyFill="1" applyBorder="1" applyAlignment="1">
      <alignment horizontal="right" vertical="center"/>
    </xf>
    <xf numFmtId="0" fontId="9" fillId="9" borderId="0" xfId="0" applyFont="1" applyFill="1" applyBorder="1" applyAlignment="1">
      <alignment vertical="center"/>
    </xf>
    <xf numFmtId="0" fontId="12" fillId="10" borderId="28" xfId="0" applyFont="1" applyFill="1" applyBorder="1" applyAlignment="1">
      <alignment horizontal="right" vertical="center"/>
    </xf>
    <xf numFmtId="40" fontId="9" fillId="0" borderId="13" xfId="0" applyNumberFormat="1" applyFont="1" applyBorder="1" applyAlignment="1">
      <alignment horizontal="center" vertical="center"/>
    </xf>
    <xf numFmtId="40" fontId="9" fillId="0" borderId="15" xfId="0" applyNumberFormat="1" applyFont="1" applyBorder="1" applyAlignment="1">
      <alignment horizontal="center" vertical="center"/>
    </xf>
    <xf numFmtId="40" fontId="9" fillId="0" borderId="28" xfId="0" applyNumberFormat="1" applyFont="1" applyBorder="1" applyAlignment="1">
      <alignment horizontal="center" vertical="center"/>
    </xf>
    <xf numFmtId="40" fontId="9" fillId="0" borderId="29" xfId="0" applyNumberFormat="1" applyFont="1" applyBorder="1" applyAlignment="1">
      <alignment horizontal="center" vertical="center"/>
    </xf>
    <xf numFmtId="40" fontId="9" fillId="0" borderId="0" xfId="0" applyNumberFormat="1" applyFont="1" applyBorder="1" applyAlignment="1">
      <alignment horizontal="center" vertical="center"/>
    </xf>
    <xf numFmtId="0" fontId="12" fillId="10" borderId="33" xfId="0" applyFont="1" applyFill="1" applyBorder="1" applyAlignment="1">
      <alignment horizontal="right" vertical="center"/>
    </xf>
    <xf numFmtId="40" fontId="9" fillId="0" borderId="45" xfId="0" applyNumberFormat="1" applyFont="1" applyBorder="1" applyAlignment="1">
      <alignment horizontal="center" vertical="center"/>
    </xf>
    <xf numFmtId="40" fontId="9" fillId="0" borderId="46" xfId="0" applyNumberFormat="1" applyFont="1" applyBorder="1" applyAlignment="1">
      <alignment horizontal="center" vertical="center"/>
    </xf>
    <xf numFmtId="40" fontId="9" fillId="0" borderId="90" xfId="0" applyNumberFormat="1" applyFont="1" applyBorder="1" applyAlignment="1">
      <alignment horizontal="center" vertical="center"/>
    </xf>
    <xf numFmtId="0" fontId="12" fillId="0" borderId="126" xfId="0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28" xfId="0" applyBorder="1" applyAlignment="1">
      <alignment horizontal="center" vertical="center"/>
    </xf>
    <xf numFmtId="0" fontId="0" fillId="0" borderId="0" xfId="0" applyAlignment="1">
      <alignment vertical="center"/>
    </xf>
    <xf numFmtId="0" fontId="12" fillId="10" borderId="38" xfId="0" applyFont="1" applyFill="1" applyBorder="1" applyAlignment="1">
      <alignment horizontal="right" vertical="center"/>
    </xf>
    <xf numFmtId="169" fontId="9" fillId="0" borderId="7" xfId="0" applyNumberFormat="1" applyFont="1" applyBorder="1" applyAlignment="1">
      <alignment horizontal="center" vertical="center"/>
    </xf>
    <xf numFmtId="169" fontId="9" fillId="0" borderId="37" xfId="0" applyNumberFormat="1" applyFont="1" applyBorder="1" applyAlignment="1">
      <alignment horizontal="center" vertical="center"/>
    </xf>
    <xf numFmtId="169" fontId="9" fillId="0" borderId="38" xfId="0" applyNumberFormat="1" applyFont="1" applyBorder="1" applyAlignment="1">
      <alignment horizontal="center" vertical="center"/>
    </xf>
    <xf numFmtId="169" fontId="9" fillId="0" borderId="57" xfId="0" applyNumberFormat="1" applyFont="1" applyBorder="1" applyAlignment="1">
      <alignment horizontal="center" vertical="center"/>
    </xf>
    <xf numFmtId="169" fontId="9" fillId="0" borderId="0" xfId="0" applyNumberFormat="1" applyFont="1" applyBorder="1" applyAlignment="1">
      <alignment horizontal="center" vertical="center"/>
    </xf>
    <xf numFmtId="169" fontId="9" fillId="0" borderId="13" xfId="0" applyNumberFormat="1" applyFont="1" applyBorder="1" applyAlignment="1">
      <alignment horizontal="center" vertical="center"/>
    </xf>
    <xf numFmtId="169" fontId="9" fillId="0" borderId="15" xfId="0" applyNumberFormat="1" applyFont="1" applyBorder="1" applyAlignment="1">
      <alignment horizontal="center" vertical="center"/>
    </xf>
    <xf numFmtId="169" fontId="9" fillId="0" borderId="28" xfId="0" applyNumberFormat="1" applyFont="1" applyBorder="1" applyAlignment="1">
      <alignment horizontal="center" vertical="center"/>
    </xf>
    <xf numFmtId="169" fontId="9" fillId="0" borderId="29" xfId="0" applyNumberFormat="1" applyFont="1" applyBorder="1" applyAlignment="1">
      <alignment horizontal="center" vertical="center"/>
    </xf>
    <xf numFmtId="169" fontId="9" fillId="0" borderId="34" xfId="0" applyNumberFormat="1" applyFont="1" applyBorder="1" applyAlignment="1">
      <alignment horizontal="center" vertical="center"/>
    </xf>
    <xf numFmtId="169" fontId="9" fillId="0" borderId="32" xfId="0" applyNumberFormat="1" applyFont="1" applyBorder="1" applyAlignment="1">
      <alignment horizontal="center" vertical="center"/>
    </xf>
    <xf numFmtId="169" fontId="9" fillId="0" borderId="33" xfId="0" applyNumberFormat="1" applyFont="1" applyBorder="1" applyAlignment="1">
      <alignment horizontal="center" vertical="center"/>
    </xf>
    <xf numFmtId="169" fontId="9" fillId="0" borderId="35" xfId="0" applyNumberFormat="1" applyFont="1" applyBorder="1" applyAlignment="1">
      <alignment horizontal="center" vertical="center"/>
    </xf>
    <xf numFmtId="0" fontId="1" fillId="0" borderId="126" xfId="0" applyFont="1" applyBorder="1" applyAlignment="1">
      <alignment horizontal="center" vertical="center"/>
    </xf>
    <xf numFmtId="169" fontId="9" fillId="0" borderId="125" xfId="0" applyNumberFormat="1" applyFont="1" applyBorder="1" applyAlignment="1">
      <alignment horizontal="center" vertical="center"/>
    </xf>
    <xf numFmtId="169" fontId="9" fillId="0" borderId="126" xfId="0" applyNumberFormat="1" applyFont="1" applyBorder="1" applyAlignment="1">
      <alignment horizontal="center" vertical="center"/>
    </xf>
    <xf numFmtId="169" fontId="9" fillId="0" borderId="128" xfId="0" applyNumberFormat="1" applyFont="1" applyBorder="1" applyAlignment="1">
      <alignment horizontal="center" vertical="center"/>
    </xf>
    <xf numFmtId="0" fontId="1" fillId="10" borderId="130" xfId="0" applyFont="1" applyFill="1" applyBorder="1" applyAlignment="1">
      <alignment horizontal="right" vertical="center"/>
    </xf>
    <xf numFmtId="169" fontId="9" fillId="0" borderId="131" xfId="0" applyNumberFormat="1" applyFont="1" applyBorder="1" applyAlignment="1">
      <alignment horizontal="center" vertical="center"/>
    </xf>
    <xf numFmtId="170" fontId="9" fillId="0" borderId="129" xfId="0" applyNumberFormat="1" applyFont="1" applyBorder="1" applyAlignment="1">
      <alignment horizontal="center" vertical="center"/>
    </xf>
    <xf numFmtId="169" fontId="9" fillId="0" borderId="129" xfId="0" applyNumberFormat="1" applyFont="1" applyBorder="1" applyAlignment="1">
      <alignment horizontal="center" vertical="center"/>
    </xf>
    <xf numFmtId="169" fontId="9" fillId="0" borderId="130" xfId="0" applyNumberFormat="1" applyFont="1" applyBorder="1" applyAlignment="1">
      <alignment horizontal="center" vertical="center"/>
    </xf>
    <xf numFmtId="169" fontId="9" fillId="0" borderId="132" xfId="0" applyNumberFormat="1" applyFont="1" applyBorder="1" applyAlignment="1">
      <alignment horizontal="center" vertical="center"/>
    </xf>
    <xf numFmtId="0" fontId="18" fillId="0" borderId="134" xfId="0" applyFont="1" applyBorder="1" applyAlignment="1">
      <alignment horizontal="center" vertical="center"/>
    </xf>
    <xf numFmtId="40" fontId="17" fillId="0" borderId="110" xfId="0" applyNumberFormat="1" applyFont="1" applyBorder="1" applyAlignment="1">
      <alignment horizontal="center" vertical="center" shrinkToFit="1"/>
    </xf>
    <xf numFmtId="0" fontId="17" fillId="0" borderId="111" xfId="0" applyFont="1" applyBorder="1" applyAlignment="1">
      <alignment horizontal="left" vertical="center"/>
    </xf>
    <xf numFmtId="0" fontId="19" fillId="0" borderId="111" xfId="0" applyFont="1" applyBorder="1" applyAlignment="1">
      <alignment horizontal="center" vertical="center"/>
    </xf>
    <xf numFmtId="0" fontId="19" fillId="0" borderId="112" xfId="0" applyFont="1" applyBorder="1" applyAlignment="1">
      <alignment horizontal="center" vertical="center"/>
    </xf>
    <xf numFmtId="0" fontId="19" fillId="0" borderId="113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18" fillId="0" borderId="78" xfId="0" applyFont="1" applyBorder="1" applyAlignment="1">
      <alignment horizontal="center" vertical="center"/>
    </xf>
    <xf numFmtId="0" fontId="21" fillId="0" borderId="89" xfId="0" applyFont="1" applyBorder="1" applyAlignment="1">
      <alignment horizontal="center" vertical="center"/>
    </xf>
    <xf numFmtId="0" fontId="21" fillId="0" borderId="107" xfId="0" applyFont="1" applyBorder="1" applyAlignment="1">
      <alignment horizontal="center" vertical="center"/>
    </xf>
    <xf numFmtId="0" fontId="21" fillId="0" borderId="108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169" fontId="20" fillId="0" borderId="45" xfId="0" applyNumberFormat="1" applyFont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46" xfId="0" applyFont="1" applyBorder="1" applyAlignment="1">
      <alignment horizontal="center" vertical="center"/>
    </xf>
    <xf numFmtId="0" fontId="22" fillId="0" borderId="90" xfId="0" applyFont="1" applyBorder="1" applyAlignment="1">
      <alignment horizontal="center" vertical="center"/>
    </xf>
    <xf numFmtId="0" fontId="9" fillId="0" borderId="138" xfId="0" applyFont="1" applyFill="1" applyBorder="1" applyAlignment="1">
      <alignment horizontal="right" vertical="center"/>
    </xf>
    <xf numFmtId="164" fontId="2" fillId="0" borderId="139" xfId="0" applyNumberFormat="1" applyFont="1" applyBorder="1" applyAlignment="1">
      <alignment horizontal="center" vertical="center"/>
    </xf>
    <xf numFmtId="164" fontId="2" fillId="0" borderId="137" xfId="0" applyNumberFormat="1" applyFont="1" applyBorder="1" applyAlignment="1">
      <alignment vertical="center"/>
    </xf>
    <xf numFmtId="164" fontId="2" fillId="0" borderId="138" xfId="0" applyNumberFormat="1" applyFont="1" applyBorder="1" applyAlignment="1">
      <alignment vertical="center"/>
    </xf>
    <xf numFmtId="164" fontId="2" fillId="0" borderId="140" xfId="0" applyNumberFormat="1" applyFont="1" applyBorder="1" applyAlignment="1">
      <alignment vertical="center"/>
    </xf>
    <xf numFmtId="164" fontId="2" fillId="0" borderId="0" xfId="0" applyNumberFormat="1" applyFont="1" applyBorder="1" applyAlignment="1">
      <alignment vertical="center"/>
    </xf>
    <xf numFmtId="0" fontId="7" fillId="11" borderId="24" xfId="0" applyFont="1" applyFill="1" applyBorder="1" applyAlignment="1">
      <alignment horizontal="distributed" vertical="center"/>
    </xf>
    <xf numFmtId="0" fontId="7" fillId="11" borderId="141" xfId="0" applyFont="1" applyFill="1" applyBorder="1" applyAlignment="1">
      <alignment horizontal="distributed" vertical="center"/>
    </xf>
    <xf numFmtId="0" fontId="2" fillId="11" borderId="24" xfId="0" applyNumberFormat="1" applyFont="1" applyFill="1" applyBorder="1" applyAlignment="1">
      <alignment horizontal="left" vertical="center"/>
    </xf>
    <xf numFmtId="0" fontId="2" fillId="11" borderId="22" xfId="0" applyNumberFormat="1" applyFont="1" applyFill="1" applyBorder="1" applyAlignment="1">
      <alignment horizontal="left" vertical="center"/>
    </xf>
    <xf numFmtId="0" fontId="2" fillId="11" borderId="23" xfId="0" applyNumberFormat="1" applyFont="1" applyFill="1" applyBorder="1" applyAlignment="1">
      <alignment horizontal="left" vertical="center"/>
    </xf>
    <xf numFmtId="0" fontId="2" fillId="11" borderId="25" xfId="0" applyNumberFormat="1" applyFont="1" applyFill="1" applyBorder="1" applyAlignment="1">
      <alignment horizontal="left" vertical="center"/>
    </xf>
    <xf numFmtId="0" fontId="2" fillId="0" borderId="0" xfId="0" applyNumberFormat="1" applyFont="1" applyBorder="1" applyAlignment="1">
      <alignment horizontal="left" vertical="center"/>
    </xf>
    <xf numFmtId="0" fontId="7" fillId="11" borderId="13" xfId="0" applyFont="1" applyFill="1" applyBorder="1" applyAlignment="1">
      <alignment horizontal="distributed" vertical="center"/>
    </xf>
    <xf numFmtId="0" fontId="7" fillId="11" borderId="142" xfId="0" applyFont="1" applyFill="1" applyBorder="1" applyAlignment="1">
      <alignment horizontal="distributed" vertical="center"/>
    </xf>
    <xf numFmtId="0" fontId="2" fillId="11" borderId="13" xfId="0" applyNumberFormat="1" applyFont="1" applyFill="1" applyBorder="1" applyAlignment="1">
      <alignment horizontal="left" vertical="center"/>
    </xf>
    <xf numFmtId="0" fontId="2" fillId="11" borderId="15" xfId="0" applyNumberFormat="1" applyFont="1" applyFill="1" applyBorder="1" applyAlignment="1">
      <alignment horizontal="left" vertical="center"/>
    </xf>
    <xf numFmtId="0" fontId="2" fillId="11" borderId="28" xfId="0" applyNumberFormat="1" applyFont="1" applyFill="1" applyBorder="1" applyAlignment="1">
      <alignment horizontal="left" vertical="center"/>
    </xf>
    <xf numFmtId="0" fontId="2" fillId="11" borderId="29" xfId="0" applyNumberFormat="1" applyFont="1" applyFill="1" applyBorder="1" applyAlignment="1">
      <alignment horizontal="left" vertical="center"/>
    </xf>
    <xf numFmtId="0" fontId="7" fillId="11" borderId="119" xfId="0" applyFont="1" applyFill="1" applyBorder="1" applyAlignment="1">
      <alignment horizontal="distributed" vertical="center"/>
    </xf>
    <xf numFmtId="0" fontId="7" fillId="11" borderId="143" xfId="0" applyFont="1" applyFill="1" applyBorder="1" applyAlignment="1">
      <alignment horizontal="distributed" vertical="center"/>
    </xf>
    <xf numFmtId="0" fontId="2" fillId="11" borderId="131" xfId="0" applyNumberFormat="1" applyFont="1" applyFill="1" applyBorder="1" applyAlignment="1">
      <alignment horizontal="left" vertical="center"/>
    </xf>
    <xf numFmtId="0" fontId="2" fillId="11" borderId="129" xfId="0" applyNumberFormat="1" applyFont="1" applyFill="1" applyBorder="1" applyAlignment="1">
      <alignment horizontal="left" vertical="center"/>
    </xf>
    <xf numFmtId="0" fontId="2" fillId="11" borderId="130" xfId="0" applyNumberFormat="1" applyFont="1" applyFill="1" applyBorder="1" applyAlignment="1">
      <alignment horizontal="left" vertical="center"/>
    </xf>
    <xf numFmtId="0" fontId="2" fillId="11" borderId="132" xfId="0" applyNumberFormat="1" applyFont="1" applyFill="1" applyBorder="1" applyAlignment="1">
      <alignment horizontal="left" vertical="center"/>
    </xf>
    <xf numFmtId="14" fontId="2" fillId="0" borderId="45" xfId="0" applyNumberFormat="1" applyFont="1" applyBorder="1" applyAlignment="1">
      <alignment horizontal="left" vertical="center"/>
    </xf>
    <xf numFmtId="0" fontId="2" fillId="0" borderId="90" xfId="0" applyNumberFormat="1" applyFont="1" applyBorder="1" applyAlignment="1">
      <alignment horizontal="left" vertical="center"/>
    </xf>
    <xf numFmtId="0" fontId="2" fillId="0" borderId="0" xfId="0" applyFont="1" applyBorder="1" applyAlignment="1">
      <alignment vertical="top" wrapText="1"/>
    </xf>
    <xf numFmtId="0" fontId="25" fillId="0" borderId="0" xfId="0" applyFont="1"/>
    <xf numFmtId="0" fontId="26" fillId="0" borderId="0" xfId="0" applyFont="1" applyAlignment="1">
      <alignment horizontal="right"/>
    </xf>
    <xf numFmtId="0" fontId="4" fillId="0" borderId="19" xfId="0" applyFont="1" applyBorder="1" applyAlignment="1">
      <alignment vertical="center"/>
    </xf>
    <xf numFmtId="0" fontId="28" fillId="0" borderId="9" xfId="0" applyFont="1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29" fillId="0" borderId="9" xfId="0" applyFont="1" applyBorder="1" applyAlignment="1">
      <alignment horizontal="right"/>
    </xf>
    <xf numFmtId="0" fontId="29" fillId="0" borderId="9" xfId="0" applyFont="1" applyBorder="1" applyAlignment="1">
      <alignment horizontal="center" vertical="center"/>
    </xf>
    <xf numFmtId="0" fontId="29" fillId="0" borderId="9" xfId="0" applyFont="1" applyBorder="1" applyAlignment="1">
      <alignment horizontal="left"/>
    </xf>
    <xf numFmtId="0" fontId="29" fillId="0" borderId="60" xfId="0" applyFont="1" applyBorder="1" applyAlignment="1">
      <alignment horizontal="right"/>
    </xf>
    <xf numFmtId="0" fontId="29" fillId="0" borderId="60" xfId="0" applyFont="1" applyBorder="1" applyAlignment="1">
      <alignment horizontal="left"/>
    </xf>
    <xf numFmtId="0" fontId="29" fillId="0" borderId="0" xfId="0" applyFont="1" applyBorder="1" applyAlignment="1">
      <alignment horizontal="right"/>
    </xf>
    <xf numFmtId="0" fontId="29" fillId="0" borderId="0" xfId="0" applyFont="1" applyBorder="1" applyAlignment="1">
      <alignment horizontal="left"/>
    </xf>
    <xf numFmtId="0" fontId="29" fillId="0" borderId="32" xfId="0" applyFont="1" applyBorder="1" applyAlignment="1">
      <alignment horizontal="right"/>
    </xf>
    <xf numFmtId="0" fontId="29" fillId="0" borderId="32" xfId="0" applyFont="1" applyBorder="1" applyAlignment="1">
      <alignment horizontal="left"/>
    </xf>
    <xf numFmtId="0" fontId="29" fillId="0" borderId="60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2" fillId="0" borderId="34" xfId="0" applyFont="1" applyBorder="1" applyAlignment="1">
      <alignment horizontal="left" vertical="center"/>
    </xf>
    <xf numFmtId="0" fontId="2" fillId="0" borderId="32" xfId="0" applyFont="1" applyBorder="1" applyAlignment="1">
      <alignment horizontal="left" vertical="center"/>
    </xf>
    <xf numFmtId="0" fontId="2" fillId="0" borderId="32" xfId="0" applyFont="1" applyBorder="1" applyAlignment="1">
      <alignment horizontal="center" vertical="center" shrinkToFit="1"/>
    </xf>
    <xf numFmtId="0" fontId="2" fillId="0" borderId="33" xfId="0" applyFont="1" applyBorder="1" applyAlignment="1">
      <alignment horizontal="left" vertical="center"/>
    </xf>
    <xf numFmtId="0" fontId="2" fillId="0" borderId="35" xfId="0" applyFont="1" applyBorder="1" applyAlignment="1">
      <alignment horizontal="left" vertical="center"/>
    </xf>
    <xf numFmtId="0" fontId="5" fillId="0" borderId="32" xfId="0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2" fillId="12" borderId="24" xfId="0" applyFont="1" applyFill="1" applyBorder="1" applyAlignment="1">
      <alignment horizontal="left" vertical="center"/>
    </xf>
    <xf numFmtId="0" fontId="2" fillId="12" borderId="13" xfId="0" applyFont="1" applyFill="1" applyBorder="1" applyAlignment="1">
      <alignment horizontal="left" vertical="center"/>
    </xf>
    <xf numFmtId="0" fontId="2" fillId="12" borderId="22" xfId="0" applyFont="1" applyFill="1" applyBorder="1" applyAlignment="1">
      <alignment horizontal="left" vertical="center"/>
    </xf>
    <xf numFmtId="0" fontId="2" fillId="12" borderId="15" xfId="0" applyFont="1" applyFill="1" applyBorder="1" applyAlignment="1">
      <alignment horizontal="left" vertical="center"/>
    </xf>
    <xf numFmtId="0" fontId="2" fillId="12" borderId="15" xfId="0" applyFont="1" applyFill="1" applyBorder="1" applyAlignment="1">
      <alignment horizontal="center" vertical="center" shrinkToFit="1"/>
    </xf>
    <xf numFmtId="0" fontId="2" fillId="12" borderId="28" xfId="0" applyFont="1" applyFill="1" applyBorder="1" applyAlignment="1">
      <alignment horizontal="left" vertical="center"/>
    </xf>
    <xf numFmtId="0" fontId="9" fillId="12" borderId="68" xfId="0" applyFont="1" applyFill="1" applyBorder="1" applyAlignment="1">
      <alignment horizontal="center" vertical="center" shrinkToFit="1"/>
    </xf>
    <xf numFmtId="164" fontId="9" fillId="12" borderId="78" xfId="0" applyNumberFormat="1" applyFont="1" applyFill="1" applyBorder="1" applyAlignment="1">
      <alignment horizontal="center" vertical="center" shrinkToFit="1"/>
    </xf>
    <xf numFmtId="38" fontId="9" fillId="12" borderId="102" xfId="0" applyNumberFormat="1" applyFont="1" applyFill="1" applyBorder="1" applyAlignment="1">
      <alignment horizontal="center" vertical="center" wrapText="1"/>
    </xf>
    <xf numFmtId="40" fontId="9" fillId="12" borderId="107" xfId="0" applyNumberFormat="1" applyFont="1" applyFill="1" applyBorder="1" applyAlignment="1">
      <alignment horizontal="center" vertical="center" shrinkToFit="1"/>
    </xf>
    <xf numFmtId="0" fontId="3" fillId="12" borderId="85" xfId="0" applyFont="1" applyFill="1" applyBorder="1" applyAlignment="1">
      <alignment vertical="center" shrinkToFit="1"/>
    </xf>
    <xf numFmtId="164" fontId="9" fillId="12" borderId="47" xfId="0" applyNumberFormat="1" applyFont="1" applyFill="1" applyBorder="1" applyAlignment="1">
      <alignment horizontal="center" vertical="center" shrinkToFit="1"/>
    </xf>
    <xf numFmtId="40" fontId="9" fillId="12" borderId="86" xfId="0" applyNumberFormat="1" applyFont="1" applyFill="1" applyBorder="1" applyAlignment="1">
      <alignment horizontal="center" vertical="center" shrinkToFit="1"/>
    </xf>
    <xf numFmtId="40" fontId="9" fillId="12" borderId="61" xfId="0" applyNumberFormat="1" applyFont="1" applyFill="1" applyBorder="1" applyAlignment="1">
      <alignment horizontal="center" vertical="center" shrinkToFit="1"/>
    </xf>
    <xf numFmtId="0" fontId="3" fillId="12" borderId="67" xfId="0" applyFont="1" applyFill="1" applyBorder="1" applyAlignment="1">
      <alignment vertical="center" shrinkToFit="1"/>
    </xf>
    <xf numFmtId="164" fontId="9" fillId="12" borderId="48" xfId="0" applyNumberFormat="1" applyFont="1" applyFill="1" applyBorder="1" applyAlignment="1">
      <alignment horizontal="center" vertical="center" shrinkToFit="1"/>
    </xf>
    <xf numFmtId="40" fontId="9" fillId="12" borderId="87" xfId="0" applyNumberFormat="1" applyFont="1" applyFill="1" applyBorder="1" applyAlignment="1">
      <alignment horizontal="center" vertical="center" shrinkToFit="1"/>
    </xf>
    <xf numFmtId="40" fontId="9" fillId="12" borderId="66" xfId="0" applyNumberFormat="1" applyFont="1" applyFill="1" applyBorder="1" applyAlignment="1">
      <alignment horizontal="center" vertical="center" shrinkToFit="1"/>
    </xf>
    <xf numFmtId="0" fontId="3" fillId="12" borderId="70" xfId="0" applyFont="1" applyFill="1" applyBorder="1" applyAlignment="1">
      <alignment vertical="center" shrinkToFit="1"/>
    </xf>
    <xf numFmtId="164" fontId="9" fillId="12" borderId="71" xfId="0" applyNumberFormat="1" applyFont="1" applyFill="1" applyBorder="1" applyAlignment="1">
      <alignment horizontal="center" vertical="center" shrinkToFit="1"/>
    </xf>
    <xf numFmtId="40" fontId="9" fillId="12" borderId="88" xfId="0" applyNumberFormat="1" applyFont="1" applyFill="1" applyBorder="1" applyAlignment="1">
      <alignment horizontal="center" vertical="center" shrinkToFit="1"/>
    </xf>
    <xf numFmtId="40" fontId="9" fillId="12" borderId="73" xfId="0" applyNumberFormat="1" applyFont="1" applyFill="1" applyBorder="1" applyAlignment="1">
      <alignment horizontal="center" vertical="center" shrinkToFit="1"/>
    </xf>
    <xf numFmtId="0" fontId="3" fillId="12" borderId="76" xfId="0" applyFont="1" applyFill="1" applyBorder="1" applyAlignment="1">
      <alignment vertical="center" shrinkToFit="1"/>
    </xf>
    <xf numFmtId="164" fontId="9" fillId="12" borderId="77" xfId="0" applyNumberFormat="1" applyFont="1" applyFill="1" applyBorder="1" applyAlignment="1">
      <alignment horizontal="center" vertical="center" shrinkToFit="1"/>
    </xf>
    <xf numFmtId="40" fontId="9" fillId="12" borderId="89" xfId="0" applyNumberFormat="1" applyFont="1" applyFill="1" applyBorder="1" applyAlignment="1">
      <alignment horizontal="center" vertical="center" shrinkToFit="1"/>
    </xf>
    <xf numFmtId="40" fontId="9" fillId="12" borderId="75" xfId="0" applyNumberFormat="1" applyFont="1" applyFill="1" applyBorder="1" applyAlignment="1">
      <alignment horizontal="center" vertical="center" shrinkToFit="1"/>
    </xf>
    <xf numFmtId="170" fontId="9" fillId="12" borderId="34" xfId="0" applyNumberFormat="1" applyFont="1" applyFill="1" applyBorder="1" applyAlignment="1">
      <alignment horizontal="center" vertical="center" wrapText="1"/>
    </xf>
    <xf numFmtId="170" fontId="9" fillId="12" borderId="80" xfId="0" applyNumberFormat="1" applyFont="1" applyFill="1" applyBorder="1" applyAlignment="1">
      <alignment horizontal="center" vertical="center" wrapText="1"/>
    </xf>
    <xf numFmtId="170" fontId="9" fillId="12" borderId="94" xfId="0" applyNumberFormat="1" applyFont="1" applyFill="1" applyBorder="1" applyAlignment="1">
      <alignment horizontal="center" vertical="center" wrapText="1"/>
    </xf>
    <xf numFmtId="167" fontId="9" fillId="12" borderId="13" xfId="0" applyNumberFormat="1" applyFont="1" applyFill="1" applyBorder="1" applyAlignment="1">
      <alignment horizontal="center" vertical="center" wrapText="1"/>
    </xf>
    <xf numFmtId="167" fontId="9" fillId="12" borderId="58" xfId="0" applyNumberFormat="1" applyFont="1" applyFill="1" applyBorder="1" applyAlignment="1">
      <alignment horizontal="center" vertical="center" wrapText="1"/>
    </xf>
    <xf numFmtId="167" fontId="9" fillId="12" borderId="91" xfId="0" applyNumberFormat="1" applyFont="1" applyFill="1" applyBorder="1" applyAlignment="1">
      <alignment horizontal="center" vertical="center" wrapText="1"/>
    </xf>
    <xf numFmtId="170" fontId="16" fillId="12" borderId="95" xfId="0" applyNumberFormat="1" applyFont="1" applyFill="1" applyBorder="1" applyAlignment="1">
      <alignment horizontal="center" vertical="center" wrapText="1"/>
    </xf>
    <xf numFmtId="167" fontId="16" fillId="12" borderId="59" xfId="0" applyNumberFormat="1" applyFont="1" applyFill="1" applyBorder="1" applyAlignment="1">
      <alignment horizontal="center" vertical="center" wrapText="1"/>
    </xf>
    <xf numFmtId="0" fontId="9" fillId="12" borderId="45" xfId="0" applyFont="1" applyFill="1" applyBorder="1" applyAlignment="1">
      <alignment horizontal="center" vertical="center" shrinkToFit="1"/>
    </xf>
    <xf numFmtId="0" fontId="9" fillId="12" borderId="80" xfId="0" applyFont="1" applyFill="1" applyBorder="1" applyAlignment="1">
      <alignment horizontal="center" vertical="center" shrinkToFit="1"/>
    </xf>
    <xf numFmtId="168" fontId="9" fillId="12" borderId="81" xfId="0" applyNumberFormat="1" applyFont="1" applyFill="1" applyBorder="1" applyAlignment="1">
      <alignment horizontal="center" vertical="center" shrinkToFit="1"/>
    </xf>
    <xf numFmtId="168" fontId="9" fillId="12" borderId="61" xfId="0" applyNumberFormat="1" applyFont="1" applyFill="1" applyBorder="1" applyAlignment="1">
      <alignment horizontal="center" vertical="center" shrinkToFit="1"/>
    </xf>
    <xf numFmtId="0" fontId="9" fillId="12" borderId="67" xfId="0" applyFont="1" applyFill="1" applyBorder="1" applyAlignment="1">
      <alignment horizontal="center" vertical="center" shrinkToFit="1"/>
    </xf>
    <xf numFmtId="0" fontId="9" fillId="12" borderId="48" xfId="0" applyFont="1" applyFill="1" applyBorder="1" applyAlignment="1">
      <alignment horizontal="center" vertical="center" shrinkToFit="1"/>
    </xf>
    <xf numFmtId="168" fontId="9" fillId="12" borderId="68" xfId="0" applyNumberFormat="1" applyFont="1" applyFill="1" applyBorder="1" applyAlignment="1">
      <alignment horizontal="center" vertical="center" shrinkToFit="1"/>
    </xf>
    <xf numFmtId="168" fontId="9" fillId="12" borderId="66" xfId="0" applyNumberFormat="1" applyFont="1" applyFill="1" applyBorder="1" applyAlignment="1">
      <alignment horizontal="center" vertical="center" shrinkToFit="1"/>
    </xf>
    <xf numFmtId="0" fontId="9" fillId="12" borderId="76" xfId="0" applyFont="1" applyFill="1" applyBorder="1" applyAlignment="1">
      <alignment horizontal="center" vertical="center" shrinkToFit="1"/>
    </xf>
    <xf numFmtId="0" fontId="9" fillId="12" borderId="77" xfId="0" applyFont="1" applyFill="1" applyBorder="1" applyAlignment="1">
      <alignment horizontal="center" vertical="center" shrinkToFit="1"/>
    </xf>
    <xf numFmtId="168" fontId="9" fillId="12" borderId="78" xfId="0" applyNumberFormat="1" applyFont="1" applyFill="1" applyBorder="1" applyAlignment="1">
      <alignment horizontal="center" vertical="center" shrinkToFit="1"/>
    </xf>
    <xf numFmtId="168" fontId="9" fillId="12" borderId="75" xfId="0" applyNumberFormat="1" applyFont="1" applyFill="1" applyBorder="1" applyAlignment="1">
      <alignment horizontal="center" vertical="center" shrinkToFit="1"/>
    </xf>
    <xf numFmtId="0" fontId="9" fillId="12" borderId="62" xfId="0" applyFont="1" applyFill="1" applyBorder="1" applyAlignment="1">
      <alignment horizontal="center" vertical="center" shrinkToFit="1"/>
    </xf>
    <xf numFmtId="40" fontId="9" fillId="12" borderId="63" xfId="0" applyNumberFormat="1" applyFont="1" applyFill="1" applyBorder="1" applyAlignment="1">
      <alignment horizontal="center" vertical="center" shrinkToFit="1"/>
    </xf>
    <xf numFmtId="168" fontId="9" fillId="12" borderId="64" xfId="0" applyNumberFormat="1" applyFont="1" applyFill="1" applyBorder="1" applyAlignment="1">
      <alignment horizontal="center" vertical="center" shrinkToFit="1"/>
    </xf>
    <xf numFmtId="40" fontId="9" fillId="12" borderId="68" xfId="0" applyNumberFormat="1" applyFont="1" applyFill="1" applyBorder="1" applyAlignment="1">
      <alignment horizontal="center" vertical="center" shrinkToFit="1"/>
    </xf>
    <xf numFmtId="0" fontId="9" fillId="12" borderId="70" xfId="0" applyFont="1" applyFill="1" applyBorder="1" applyAlignment="1">
      <alignment horizontal="center" vertical="center" shrinkToFit="1"/>
    </xf>
    <xf numFmtId="0" fontId="9" fillId="12" borderId="71" xfId="0" applyFont="1" applyFill="1" applyBorder="1" applyAlignment="1">
      <alignment horizontal="center" vertical="center" shrinkToFit="1"/>
    </xf>
    <xf numFmtId="40" fontId="9" fillId="12" borderId="72" xfId="0" applyNumberFormat="1" applyFont="1" applyFill="1" applyBorder="1" applyAlignment="1">
      <alignment horizontal="center" vertical="center" shrinkToFit="1"/>
    </xf>
    <xf numFmtId="168" fontId="9" fillId="12" borderId="73" xfId="0" applyNumberFormat="1" applyFont="1" applyFill="1" applyBorder="1" applyAlignment="1">
      <alignment horizontal="center" vertical="center" shrinkToFit="1"/>
    </xf>
    <xf numFmtId="40" fontId="9" fillId="12" borderId="78" xfId="0" applyNumberFormat="1" applyFont="1" applyFill="1" applyBorder="1" applyAlignment="1">
      <alignment horizontal="center" vertical="center" shrinkToFit="1"/>
    </xf>
    <xf numFmtId="0" fontId="3" fillId="12" borderId="13" xfId="0" applyFont="1" applyFill="1" applyBorder="1" applyAlignment="1">
      <alignment horizontal="left" vertical="center" shrinkToFit="1"/>
    </xf>
    <xf numFmtId="0" fontId="3" fillId="12" borderId="13" xfId="0" applyFont="1" applyFill="1" applyBorder="1" applyAlignment="1">
      <alignment vertical="center"/>
    </xf>
    <xf numFmtId="0" fontId="3" fillId="12" borderId="13" xfId="0" applyNumberFormat="1" applyFont="1" applyFill="1" applyBorder="1" applyAlignment="1">
      <alignment horizontal="left" vertical="center" shrinkToFit="1"/>
    </xf>
    <xf numFmtId="0" fontId="3" fillId="12" borderId="9" xfId="0" applyNumberFormat="1" applyFont="1" applyFill="1" applyBorder="1" applyAlignment="1">
      <alignment horizontal="left" vertical="center" shrinkToFit="1"/>
    </xf>
    <xf numFmtId="164" fontId="1" fillId="12" borderId="50" xfId="0" applyNumberFormat="1" applyFont="1" applyFill="1" applyBorder="1" applyAlignment="1">
      <alignment horizontal="center" vertical="center" wrapText="1"/>
    </xf>
    <xf numFmtId="40" fontId="9" fillId="12" borderId="53" xfId="0" applyNumberFormat="1" applyFont="1" applyFill="1" applyBorder="1" applyAlignment="1">
      <alignment horizontal="center" vertical="center"/>
    </xf>
    <xf numFmtId="40" fontId="9" fillId="12" borderId="50" xfId="0" applyNumberFormat="1" applyFont="1" applyFill="1" applyBorder="1" applyAlignment="1">
      <alignment horizontal="center" vertical="center"/>
    </xf>
    <xf numFmtId="166" fontId="9" fillId="12" borderId="7" xfId="0" applyNumberFormat="1" applyFont="1" applyFill="1" applyBorder="1" applyAlignment="1">
      <alignment horizontal="center" vertical="center"/>
    </xf>
    <xf numFmtId="0" fontId="3" fillId="12" borderId="9" xfId="0" applyFont="1" applyFill="1" applyBorder="1" applyAlignment="1">
      <alignment vertical="center" shrinkToFit="1"/>
    </xf>
    <xf numFmtId="0" fontId="1" fillId="12" borderId="49" xfId="0" applyFont="1" applyFill="1" applyBorder="1" applyAlignment="1">
      <alignment horizontal="center" vertical="center" wrapText="1"/>
    </xf>
    <xf numFmtId="40" fontId="9" fillId="12" borderId="52" xfId="0" applyNumberFormat="1" applyFont="1" applyFill="1" applyBorder="1" applyAlignment="1">
      <alignment horizontal="center" vertical="center" wrapText="1"/>
    </xf>
    <xf numFmtId="40" fontId="9" fillId="12" borderId="49" xfId="0" applyNumberFormat="1" applyFont="1" applyFill="1" applyBorder="1" applyAlignment="1">
      <alignment horizontal="center" vertical="center" wrapText="1"/>
    </xf>
    <xf numFmtId="40" fontId="9" fillId="12" borderId="5" xfId="0" applyNumberFormat="1" applyFont="1" applyFill="1" applyBorder="1" applyAlignment="1">
      <alignment horizontal="center" vertical="center" wrapText="1"/>
    </xf>
    <xf numFmtId="0" fontId="8" fillId="0" borderId="36" xfId="0" applyFont="1" applyBorder="1" applyAlignment="1">
      <alignment horizontal="left" vertical="center" indent="1"/>
    </xf>
    <xf numFmtId="0" fontId="0" fillId="0" borderId="37" xfId="0" applyBorder="1" applyAlignment="1">
      <alignment horizontal="left" vertical="center" indent="1"/>
    </xf>
    <xf numFmtId="0" fontId="0" fillId="0" borderId="38" xfId="0" applyBorder="1" applyAlignment="1">
      <alignment horizontal="left" vertical="center" indent="1"/>
    </xf>
    <xf numFmtId="0" fontId="3" fillId="0" borderId="39" xfId="0" applyFont="1" applyBorder="1" applyAlignment="1">
      <alignment horizontal="left" vertical="center" indent="1"/>
    </xf>
    <xf numFmtId="0" fontId="3" fillId="0" borderId="40" xfId="0" applyFont="1" applyBorder="1" applyAlignment="1">
      <alignment horizontal="left" vertical="center" indent="1"/>
    </xf>
    <xf numFmtId="0" fontId="3" fillId="0" borderId="41" xfId="0" applyFont="1" applyBorder="1" applyAlignment="1">
      <alignment horizontal="left" vertical="center" indent="1"/>
    </xf>
    <xf numFmtId="0" fontId="3" fillId="0" borderId="42" xfId="0" applyFont="1" applyBorder="1" applyAlignment="1">
      <alignment horizontal="left" vertical="center" indent="1"/>
    </xf>
    <xf numFmtId="0" fontId="7" fillId="0" borderId="27" xfId="0" applyFont="1" applyBorder="1" applyAlignment="1">
      <alignment horizontal="left" vertical="center" indent="1"/>
    </xf>
    <xf numFmtId="0" fontId="7" fillId="0" borderId="15" xfId="0" applyFont="1" applyBorder="1" applyAlignment="1">
      <alignment horizontal="left" vertical="center" indent="1"/>
    </xf>
    <xf numFmtId="0" fontId="7" fillId="0" borderId="28" xfId="0" applyFont="1" applyBorder="1" applyAlignment="1">
      <alignment horizontal="left" vertical="center" indent="1"/>
    </xf>
    <xf numFmtId="14" fontId="7" fillId="0" borderId="0" xfId="0" applyNumberFormat="1" applyFont="1" applyAlignment="1">
      <alignment horizontal="center" vertical="center"/>
    </xf>
    <xf numFmtId="0" fontId="3" fillId="0" borderId="0" xfId="0" applyFont="1" applyBorder="1" applyAlignment="1">
      <alignment horizontal="right" vertical="top"/>
    </xf>
    <xf numFmtId="0" fontId="7" fillId="0" borderId="21" xfId="0" applyFont="1" applyBorder="1" applyAlignment="1">
      <alignment horizontal="left" vertical="center" indent="1"/>
    </xf>
    <xf numFmtId="0" fontId="7" fillId="0" borderId="22" xfId="0" applyFont="1" applyBorder="1" applyAlignment="1">
      <alignment horizontal="left" vertical="center" indent="1"/>
    </xf>
    <xf numFmtId="0" fontId="7" fillId="0" borderId="23" xfId="0" applyFont="1" applyBorder="1" applyAlignment="1">
      <alignment horizontal="left" vertical="center" indent="1"/>
    </xf>
    <xf numFmtId="0" fontId="7" fillId="0" borderId="31" xfId="0" applyFont="1" applyBorder="1" applyAlignment="1">
      <alignment horizontal="left" vertical="center" wrapText="1" indent="1"/>
    </xf>
    <xf numFmtId="0" fontId="7" fillId="0" borderId="32" xfId="0" applyFont="1" applyBorder="1" applyAlignment="1">
      <alignment horizontal="left" vertical="center" wrapText="1" indent="1"/>
    </xf>
    <xf numFmtId="0" fontId="7" fillId="0" borderId="33" xfId="0" applyFont="1" applyBorder="1" applyAlignment="1">
      <alignment horizontal="left" vertical="center" indent="1"/>
    </xf>
    <xf numFmtId="0" fontId="3" fillId="0" borderId="34" xfId="0" applyFont="1" applyBorder="1" applyAlignment="1">
      <alignment vertical="center"/>
    </xf>
    <xf numFmtId="0" fontId="3" fillId="0" borderId="32" xfId="0" applyFont="1" applyBorder="1" applyAlignment="1">
      <alignment vertical="center"/>
    </xf>
    <xf numFmtId="0" fontId="3" fillId="0" borderId="33" xfId="0" applyFont="1" applyBorder="1" applyAlignment="1">
      <alignment vertical="center"/>
    </xf>
    <xf numFmtId="0" fontId="3" fillId="0" borderId="35" xfId="0" applyFont="1" applyBorder="1" applyAlignment="1">
      <alignment vertical="center"/>
    </xf>
    <xf numFmtId="0" fontId="3" fillId="3" borderId="34" xfId="0" applyFont="1" applyFill="1" applyBorder="1" applyAlignment="1">
      <alignment horizontal="left" vertical="center"/>
    </xf>
    <xf numFmtId="0" fontId="3" fillId="3" borderId="32" xfId="0" applyFont="1" applyFill="1" applyBorder="1" applyAlignment="1">
      <alignment horizontal="left" vertical="center"/>
    </xf>
    <xf numFmtId="0" fontId="3" fillId="3" borderId="33" xfId="0" applyFont="1" applyFill="1" applyBorder="1" applyAlignment="1">
      <alignment horizontal="left" vertical="center"/>
    </xf>
    <xf numFmtId="0" fontId="3" fillId="3" borderId="60" xfId="0" applyFont="1" applyFill="1" applyBorder="1" applyAlignment="1">
      <alignment horizontal="center" vertical="center" wrapText="1"/>
    </xf>
    <xf numFmtId="0" fontId="0" fillId="3" borderId="64" xfId="0" applyFill="1" applyBorder="1" applyAlignment="1">
      <alignment horizontal="center" vertical="center"/>
    </xf>
    <xf numFmtId="0" fontId="7" fillId="3" borderId="36" xfId="0" applyFont="1" applyFill="1" applyBorder="1" applyAlignment="1">
      <alignment horizontal="right" vertical="center"/>
    </xf>
    <xf numFmtId="0" fontId="7" fillId="3" borderId="37" xfId="0" applyFont="1" applyFill="1" applyBorder="1" applyAlignment="1">
      <alignment horizontal="right" vertical="center"/>
    </xf>
    <xf numFmtId="0" fontId="3" fillId="5" borderId="34" xfId="0" applyFont="1" applyFill="1" applyBorder="1" applyAlignment="1">
      <alignment horizontal="distributed" vertical="center"/>
    </xf>
    <xf numFmtId="0" fontId="3" fillId="5" borderId="33" xfId="0" applyFont="1" applyFill="1" applyBorder="1" applyAlignment="1">
      <alignment horizontal="distributed" vertical="center"/>
    </xf>
    <xf numFmtId="0" fontId="7" fillId="5" borderId="36" xfId="0" applyFont="1" applyFill="1" applyBorder="1" applyAlignment="1">
      <alignment horizontal="right" vertical="center"/>
    </xf>
    <xf numFmtId="0" fontId="7" fillId="5" borderId="37" xfId="0" applyFont="1" applyFill="1" applyBorder="1" applyAlignment="1">
      <alignment horizontal="right" vertical="center"/>
    </xf>
    <xf numFmtId="0" fontId="2" fillId="0" borderId="13" xfId="0" applyFont="1" applyFill="1" applyBorder="1" applyAlignment="1">
      <alignment horizontal="center" vertical="center" wrapText="1"/>
    </xf>
    <xf numFmtId="0" fontId="2" fillId="0" borderId="29" xfId="0" applyFont="1" applyFill="1" applyBorder="1" applyAlignment="1">
      <alignment horizontal="center" vertical="center" wrapText="1"/>
    </xf>
    <xf numFmtId="0" fontId="3" fillId="3" borderId="45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166" fontId="9" fillId="0" borderId="13" xfId="0" applyNumberFormat="1" applyFont="1" applyBorder="1" applyAlignment="1">
      <alignment horizontal="center" vertical="center"/>
    </xf>
    <xf numFmtId="166" fontId="9" fillId="0" borderId="15" xfId="0" applyNumberFormat="1" applyFont="1" applyBorder="1" applyAlignment="1">
      <alignment horizontal="center" vertical="center"/>
    </xf>
    <xf numFmtId="166" fontId="9" fillId="0" borderId="28" xfId="0" applyNumberFormat="1" applyFont="1" applyBorder="1" applyAlignment="1">
      <alignment horizontal="center" vertical="center"/>
    </xf>
    <xf numFmtId="166" fontId="9" fillId="0" borderId="29" xfId="0" applyNumberFormat="1" applyFont="1" applyBorder="1" applyAlignment="1">
      <alignment horizontal="center" vertical="center"/>
    </xf>
    <xf numFmtId="0" fontId="3" fillId="3" borderId="7" xfId="0" applyFont="1" applyFill="1" applyBorder="1" applyAlignment="1">
      <alignment horizontal="right" vertical="center" shrinkToFit="1"/>
    </xf>
    <xf numFmtId="0" fontId="3" fillId="3" borderId="37" xfId="0" applyFont="1" applyFill="1" applyBorder="1" applyAlignment="1">
      <alignment horizontal="right" vertical="center" shrinkToFit="1"/>
    </xf>
    <xf numFmtId="164" fontId="2" fillId="0" borderId="13" xfId="0" applyNumberFormat="1" applyFont="1" applyBorder="1" applyAlignment="1">
      <alignment horizontal="center" vertical="center"/>
    </xf>
    <xf numFmtId="164" fontId="2" fillId="0" borderId="28" xfId="0" applyNumberFormat="1" applyFont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9" fillId="12" borderId="98" xfId="0" applyNumberFormat="1" applyFont="1" applyFill="1" applyBorder="1" applyAlignment="1">
      <alignment vertical="center" shrinkToFit="1"/>
    </xf>
    <xf numFmtId="0" fontId="9" fillId="12" borderId="86" xfId="0" applyNumberFormat="1" applyFont="1" applyFill="1" applyBorder="1" applyAlignment="1">
      <alignment vertical="center" shrinkToFit="1"/>
    </xf>
    <xf numFmtId="0" fontId="9" fillId="12" borderId="99" xfId="0" applyNumberFormat="1" applyFont="1" applyFill="1" applyBorder="1" applyAlignment="1">
      <alignment vertical="center" shrinkToFit="1"/>
    </xf>
    <xf numFmtId="0" fontId="9" fillId="0" borderId="98" xfId="0" applyNumberFormat="1" applyFont="1" applyBorder="1" applyAlignment="1">
      <alignment vertical="center" shrinkToFit="1"/>
    </xf>
    <xf numFmtId="0" fontId="9" fillId="0" borderId="86" xfId="0" applyNumberFormat="1" applyFont="1" applyBorder="1" applyAlignment="1">
      <alignment vertical="center" shrinkToFit="1"/>
    </xf>
    <xf numFmtId="0" fontId="9" fillId="0" borderId="99" xfId="0" applyNumberFormat="1" applyFont="1" applyBorder="1" applyAlignment="1">
      <alignment vertical="center" shrinkToFit="1"/>
    </xf>
    <xf numFmtId="0" fontId="9" fillId="0" borderId="100" xfId="0" applyNumberFormat="1" applyFont="1" applyBorder="1" applyAlignment="1">
      <alignment vertical="center" shrinkToFit="1"/>
    </xf>
    <xf numFmtId="0" fontId="9" fillId="0" borderId="105" xfId="0" applyFont="1" applyBorder="1" applyAlignment="1">
      <alignment horizontal="left" vertical="center" shrinkToFit="1"/>
    </xf>
    <xf numFmtId="0" fontId="9" fillId="0" borderId="87" xfId="0" applyFont="1" applyBorder="1" applyAlignment="1">
      <alignment horizontal="left" vertical="center" shrinkToFit="1"/>
    </xf>
    <xf numFmtId="0" fontId="9" fillId="0" borderId="102" xfId="0" applyFont="1" applyBorder="1" applyAlignment="1">
      <alignment horizontal="left" vertical="center" shrinkToFit="1"/>
    </xf>
    <xf numFmtId="0" fontId="9" fillId="0" borderId="103" xfId="0" applyFont="1" applyBorder="1" applyAlignment="1">
      <alignment horizontal="left" vertical="center" shrinkToFit="1"/>
    </xf>
    <xf numFmtId="0" fontId="3" fillId="6" borderId="13" xfId="0" applyFont="1" applyFill="1" applyBorder="1" applyAlignment="1">
      <alignment horizontal="distributed" vertical="center" wrapText="1"/>
    </xf>
    <xf numFmtId="0" fontId="3" fillId="6" borderId="15" xfId="0" applyFont="1" applyFill="1" applyBorder="1" applyAlignment="1">
      <alignment horizontal="distributed" vertical="center" wrapText="1"/>
    </xf>
    <xf numFmtId="0" fontId="0" fillId="6" borderId="28" xfId="0" applyFill="1" applyBorder="1" applyAlignment="1">
      <alignment horizontal="distributed" vertical="center" wrapText="1"/>
    </xf>
    <xf numFmtId="0" fontId="7" fillId="6" borderId="15" xfId="0" applyFont="1" applyFill="1" applyBorder="1" applyAlignment="1">
      <alignment vertical="center"/>
    </xf>
    <xf numFmtId="0" fontId="2" fillId="6" borderId="15" xfId="0" applyFont="1" applyFill="1" applyBorder="1" applyAlignment="1">
      <alignment vertical="center"/>
    </xf>
    <xf numFmtId="0" fontId="3" fillId="7" borderId="13" xfId="0" applyFont="1" applyFill="1" applyBorder="1" applyAlignment="1">
      <alignment vertical="center"/>
    </xf>
    <xf numFmtId="0" fontId="3" fillId="7" borderId="15" xfId="0" applyFont="1" applyFill="1" applyBorder="1" applyAlignment="1">
      <alignment vertical="center"/>
    </xf>
    <xf numFmtId="0" fontId="3" fillId="7" borderId="28" xfId="0" applyFont="1" applyFill="1" applyBorder="1" applyAlignment="1">
      <alignment vertical="center"/>
    </xf>
    <xf numFmtId="0" fontId="3" fillId="7" borderId="34" xfId="0" applyFont="1" applyFill="1" applyBorder="1" applyAlignment="1">
      <alignment horizontal="center" vertical="center"/>
    </xf>
    <xf numFmtId="0" fontId="3" fillId="7" borderId="33" xfId="0" applyFont="1" applyFill="1" applyBorder="1" applyAlignment="1">
      <alignment horizontal="center" vertical="center"/>
    </xf>
    <xf numFmtId="0" fontId="3" fillId="7" borderId="45" xfId="0" applyFont="1" applyFill="1" applyBorder="1" applyAlignment="1">
      <alignment horizontal="center" vertical="center"/>
    </xf>
    <xf numFmtId="0" fontId="3" fillId="7" borderId="46" xfId="0" applyFont="1" applyFill="1" applyBorder="1" applyAlignment="1">
      <alignment horizontal="center" vertical="center"/>
    </xf>
    <xf numFmtId="0" fontId="3" fillId="7" borderId="7" xfId="0" applyFont="1" applyFill="1" applyBorder="1" applyAlignment="1">
      <alignment horizontal="center" vertical="center"/>
    </xf>
    <xf numFmtId="0" fontId="3" fillId="7" borderId="38" xfId="0" applyFont="1" applyFill="1" applyBorder="1" applyAlignment="1">
      <alignment horizontal="center" vertical="center"/>
    </xf>
    <xf numFmtId="0" fontId="3" fillId="7" borderId="7" xfId="0" applyFont="1" applyFill="1" applyBorder="1" applyAlignment="1">
      <alignment horizontal="right" vertical="center"/>
    </xf>
    <xf numFmtId="0" fontId="3" fillId="7" borderId="37" xfId="0" applyFont="1" applyFill="1" applyBorder="1" applyAlignment="1">
      <alignment horizontal="right" vertical="center"/>
    </xf>
    <xf numFmtId="38" fontId="7" fillId="0" borderId="13" xfId="1" applyFont="1" applyFill="1" applyBorder="1" applyAlignment="1">
      <alignment horizontal="left" vertical="center" indent="1"/>
    </xf>
    <xf numFmtId="38" fontId="0" fillId="0" borderId="15" xfId="1" applyFont="1" applyBorder="1" applyAlignment="1">
      <alignment horizontal="left" vertical="center" indent="1"/>
    </xf>
    <xf numFmtId="40" fontId="7" fillId="0" borderId="13" xfId="0" applyNumberFormat="1" applyFont="1" applyFill="1" applyBorder="1" applyAlignment="1">
      <alignment horizontal="left" vertical="center" indent="1"/>
    </xf>
    <xf numFmtId="0" fontId="0" fillId="0" borderId="15" xfId="0" applyBorder="1" applyAlignment="1">
      <alignment horizontal="left" vertical="center" indent="1"/>
    </xf>
    <xf numFmtId="40" fontId="7" fillId="0" borderId="13" xfId="0" applyNumberFormat="1" applyFont="1" applyFill="1" applyBorder="1" applyAlignment="1">
      <alignment horizontal="left" vertical="center" wrapText="1" indent="1"/>
    </xf>
    <xf numFmtId="0" fontId="7" fillId="0" borderId="15" xfId="0" applyFont="1" applyBorder="1" applyAlignment="1">
      <alignment horizontal="left" vertical="center" wrapText="1" indent="1"/>
    </xf>
    <xf numFmtId="169" fontId="2" fillId="0" borderId="15" xfId="0" applyNumberFormat="1" applyFont="1" applyFill="1" applyBorder="1" applyAlignment="1">
      <alignment horizontal="center" vertical="center" wrapText="1"/>
    </xf>
    <xf numFmtId="169" fontId="2" fillId="0" borderId="29" xfId="0" applyNumberFormat="1" applyFont="1" applyFill="1" applyBorder="1" applyAlignment="1">
      <alignment horizontal="center" vertical="center" wrapText="1"/>
    </xf>
    <xf numFmtId="0" fontId="7" fillId="7" borderId="15" xfId="0" applyFont="1" applyFill="1" applyBorder="1" applyAlignment="1">
      <alignment horizontal="distributed" vertical="center"/>
    </xf>
    <xf numFmtId="40" fontId="7" fillId="7" borderId="13" xfId="0" applyNumberFormat="1" applyFont="1" applyFill="1" applyBorder="1" applyAlignment="1">
      <alignment horizontal="left" vertical="center" indent="2"/>
    </xf>
    <xf numFmtId="0" fontId="0" fillId="0" borderId="15" xfId="0" applyBorder="1" applyAlignment="1">
      <alignment horizontal="left" vertical="center" indent="2"/>
    </xf>
    <xf numFmtId="0" fontId="7" fillId="7" borderId="13" xfId="0" applyFont="1" applyFill="1" applyBorder="1" applyAlignment="1">
      <alignment horizontal="distributed" vertical="center"/>
    </xf>
    <xf numFmtId="0" fontId="7" fillId="7" borderId="28" xfId="0" applyFont="1" applyFill="1" applyBorder="1" applyAlignment="1">
      <alignment horizontal="distributed" vertical="center"/>
    </xf>
    <xf numFmtId="38" fontId="7" fillId="0" borderId="13" xfId="1" applyFont="1" applyFill="1" applyBorder="1" applyAlignment="1">
      <alignment horizontal="left" vertical="center" wrapText="1" indent="1"/>
    </xf>
    <xf numFmtId="38" fontId="7" fillId="0" borderId="15" xfId="1" applyFont="1" applyBorder="1" applyAlignment="1">
      <alignment horizontal="left" vertical="center" wrapText="1" indent="1"/>
    </xf>
    <xf numFmtId="169" fontId="2" fillId="0" borderId="28" xfId="0" applyNumberFormat="1" applyFont="1" applyFill="1" applyBorder="1" applyAlignment="1">
      <alignment horizontal="center" vertical="center" wrapText="1"/>
    </xf>
    <xf numFmtId="164" fontId="2" fillId="0" borderId="114" xfId="0" applyNumberFormat="1" applyFont="1" applyBorder="1" applyAlignment="1">
      <alignment horizontal="center" vertical="center"/>
    </xf>
    <xf numFmtId="164" fontId="2" fillId="0" borderId="117" xfId="0" applyNumberFormat="1" applyFont="1" applyBorder="1" applyAlignment="1">
      <alignment horizontal="center" vertical="center"/>
    </xf>
    <xf numFmtId="164" fontId="2" fillId="0" borderId="115" xfId="0" applyNumberFormat="1" applyFont="1" applyBorder="1" applyAlignment="1">
      <alignment horizontal="center" vertical="center"/>
    </xf>
    <xf numFmtId="164" fontId="2" fillId="0" borderId="118" xfId="0" applyNumberFormat="1" applyFont="1" applyBorder="1" applyAlignment="1">
      <alignment horizontal="center" vertical="center"/>
    </xf>
    <xf numFmtId="0" fontId="0" fillId="0" borderId="24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164" fontId="3" fillId="0" borderId="24" xfId="0" applyNumberFormat="1" applyFont="1" applyBorder="1" applyAlignment="1">
      <alignment horizontal="center" vertical="center"/>
    </xf>
    <xf numFmtId="164" fontId="3" fillId="0" borderId="23" xfId="0" applyNumberFormat="1" applyFont="1" applyBorder="1" applyAlignment="1">
      <alignment horizontal="center" vertical="center"/>
    </xf>
    <xf numFmtId="164" fontId="3" fillId="0" borderId="25" xfId="0" applyNumberFormat="1" applyFont="1" applyBorder="1" applyAlignment="1">
      <alignment horizontal="center" vertical="center"/>
    </xf>
    <xf numFmtId="0" fontId="8" fillId="8" borderId="109" xfId="0" applyFont="1" applyFill="1" applyBorder="1" applyAlignment="1">
      <alignment horizontal="center" vertical="top" wrapText="1"/>
    </xf>
    <xf numFmtId="0" fontId="8" fillId="8" borderId="93" xfId="0" applyFont="1" applyFill="1" applyBorder="1" applyAlignment="1">
      <alignment horizontal="center" vertical="top" wrapText="1"/>
    </xf>
    <xf numFmtId="0" fontId="2" fillId="8" borderId="110" xfId="0" applyFont="1" applyFill="1" applyBorder="1" applyAlignment="1">
      <alignment horizontal="left" vertical="center" shrinkToFit="1"/>
    </xf>
    <xf numFmtId="0" fontId="2" fillId="8" borderId="111" xfId="0" applyFont="1" applyFill="1" applyBorder="1" applyAlignment="1">
      <alignment horizontal="left" vertical="center" shrinkToFit="1"/>
    </xf>
    <xf numFmtId="0" fontId="2" fillId="8" borderId="112" xfId="0" applyFont="1" applyFill="1" applyBorder="1" applyAlignment="1">
      <alignment horizontal="left" vertical="center" shrinkToFit="1"/>
    </xf>
    <xf numFmtId="0" fontId="2" fillId="0" borderId="110" xfId="0" applyFont="1" applyBorder="1" applyAlignment="1">
      <alignment horizontal="left" vertical="center"/>
    </xf>
    <xf numFmtId="0" fontId="2" fillId="0" borderId="111" xfId="0" applyFont="1" applyBorder="1" applyAlignment="1">
      <alignment horizontal="left" vertical="center"/>
    </xf>
    <xf numFmtId="0" fontId="2" fillId="0" borderId="112" xfId="0" applyFont="1" applyBorder="1" applyAlignment="1">
      <alignment horizontal="left" vertical="center"/>
    </xf>
    <xf numFmtId="0" fontId="2" fillId="0" borderId="113" xfId="0" applyFont="1" applyBorder="1" applyAlignment="1">
      <alignment horizontal="left" vertical="center"/>
    </xf>
    <xf numFmtId="0" fontId="3" fillId="8" borderId="114" xfId="0" applyFont="1" applyFill="1" applyBorder="1" applyAlignment="1">
      <alignment vertical="center" shrinkToFit="1"/>
    </xf>
    <xf numFmtId="0" fontId="0" fillId="8" borderId="115" xfId="0" applyFill="1" applyBorder="1" applyAlignment="1">
      <alignment vertical="center" shrinkToFit="1"/>
    </xf>
    <xf numFmtId="0" fontId="0" fillId="8" borderId="116" xfId="0" applyFill="1" applyBorder="1" applyAlignment="1">
      <alignment vertical="center" shrinkToFit="1"/>
    </xf>
    <xf numFmtId="164" fontId="2" fillId="12" borderId="114" xfId="0" applyNumberFormat="1" applyFont="1" applyFill="1" applyBorder="1" applyAlignment="1">
      <alignment horizontal="center" vertical="center"/>
    </xf>
    <xf numFmtId="164" fontId="2" fillId="12" borderId="117" xfId="0" applyNumberFormat="1" applyFont="1" applyFill="1" applyBorder="1" applyAlignment="1">
      <alignment horizontal="center" vertical="center"/>
    </xf>
    <xf numFmtId="164" fontId="2" fillId="12" borderId="115" xfId="0" applyNumberFormat="1" applyFont="1" applyFill="1" applyBorder="1" applyAlignment="1">
      <alignment horizontal="center" vertical="center"/>
    </xf>
    <xf numFmtId="164" fontId="2" fillId="12" borderId="116" xfId="0" applyNumberFormat="1" applyFont="1" applyFill="1" applyBorder="1" applyAlignment="1">
      <alignment horizontal="center" vertical="center"/>
    </xf>
    <xf numFmtId="164" fontId="2" fillId="0" borderId="116" xfId="0" applyNumberFormat="1" applyFont="1" applyBorder="1" applyAlignment="1">
      <alignment horizontal="center" vertical="center"/>
    </xf>
    <xf numFmtId="164" fontId="3" fillId="0" borderId="13" xfId="0" applyNumberFormat="1" applyFont="1" applyBorder="1" applyAlignment="1">
      <alignment horizontal="center" vertical="center"/>
    </xf>
    <xf numFmtId="164" fontId="3" fillId="0" borderId="29" xfId="0" applyNumberFormat="1" applyFont="1" applyBorder="1" applyAlignment="1">
      <alignment horizontal="center" vertical="center"/>
    </xf>
    <xf numFmtId="0" fontId="3" fillId="8" borderId="13" xfId="0" applyFont="1" applyFill="1" applyBorder="1" applyAlignment="1">
      <alignment horizontal="center" vertical="center"/>
    </xf>
    <xf numFmtId="0" fontId="3" fillId="8" borderId="15" xfId="0" applyFont="1" applyFill="1" applyBorder="1" applyAlignment="1">
      <alignment horizontal="center" vertical="center"/>
    </xf>
    <xf numFmtId="0" fontId="3" fillId="8" borderId="28" xfId="0" applyFont="1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0" fontId="0" fillId="12" borderId="28" xfId="0" applyFill="1" applyBorder="1" applyAlignment="1">
      <alignment horizontal="center" vertical="center"/>
    </xf>
    <xf numFmtId="164" fontId="3" fillId="12" borderId="13" xfId="0" applyNumberFormat="1" applyFont="1" applyFill="1" applyBorder="1" applyAlignment="1">
      <alignment horizontal="center" vertical="center"/>
    </xf>
    <xf numFmtId="164" fontId="3" fillId="12" borderId="28" xfId="0" applyNumberFormat="1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4" fontId="3" fillId="0" borderId="28" xfId="0" applyNumberFormat="1" applyFont="1" applyBorder="1" applyAlignment="1">
      <alignment horizontal="center" vertical="center"/>
    </xf>
    <xf numFmtId="0" fontId="7" fillId="10" borderId="31" xfId="0" applyFont="1" applyFill="1" applyBorder="1" applyAlignment="1">
      <alignment horizontal="center" vertical="center"/>
    </xf>
    <xf numFmtId="0" fontId="7" fillId="10" borderId="44" xfId="0" applyFont="1" applyFill="1" applyBorder="1" applyAlignment="1">
      <alignment horizontal="center" vertical="center"/>
    </xf>
    <xf numFmtId="0" fontId="7" fillId="10" borderId="123" xfId="0" applyFont="1" applyFill="1" applyBorder="1" applyAlignment="1">
      <alignment horizontal="center" vertical="center"/>
    </xf>
    <xf numFmtId="0" fontId="9" fillId="10" borderId="13" xfId="0" applyFont="1" applyFill="1" applyBorder="1" applyAlignment="1">
      <alignment vertical="center"/>
    </xf>
    <xf numFmtId="0" fontId="9" fillId="10" borderId="15" xfId="0" applyFont="1" applyFill="1" applyBorder="1" applyAlignment="1">
      <alignment vertical="center"/>
    </xf>
    <xf numFmtId="0" fontId="9" fillId="10" borderId="34" xfId="0" applyFont="1" applyFill="1" applyBorder="1" applyAlignment="1">
      <alignment vertical="center"/>
    </xf>
    <xf numFmtId="0" fontId="9" fillId="10" borderId="32" xfId="0" applyFont="1" applyFill="1" applyBorder="1" applyAlignment="1">
      <alignment vertical="center"/>
    </xf>
    <xf numFmtId="0" fontId="9" fillId="10" borderId="119" xfId="0" applyFont="1" applyFill="1" applyBorder="1" applyAlignment="1">
      <alignment vertical="center"/>
    </xf>
    <xf numFmtId="0" fontId="9" fillId="10" borderId="120" xfId="0" applyFont="1" applyFill="1" applyBorder="1" applyAlignment="1">
      <alignment vertical="center"/>
    </xf>
    <xf numFmtId="0" fontId="7" fillId="0" borderId="124" xfId="0" applyFont="1" applyBorder="1" applyAlignment="1">
      <alignment horizontal="left" vertical="center"/>
    </xf>
    <xf numFmtId="0" fontId="7" fillId="0" borderId="125" xfId="0" applyFont="1" applyBorder="1" applyAlignment="1">
      <alignment horizontal="left" vertical="center"/>
    </xf>
    <xf numFmtId="40" fontId="7" fillId="0" borderId="127" xfId="0" applyNumberFormat="1" applyFont="1" applyBorder="1" applyAlignment="1">
      <alignment horizontal="left" vertical="center" indent="1"/>
    </xf>
    <xf numFmtId="40" fontId="0" fillId="0" borderId="125" xfId="0" applyNumberFormat="1" applyBorder="1" applyAlignment="1">
      <alignment horizontal="left" vertical="center" indent="1"/>
    </xf>
    <xf numFmtId="164" fontId="3" fillId="0" borderId="119" xfId="0" applyNumberFormat="1" applyFont="1" applyBorder="1" applyAlignment="1">
      <alignment horizontal="center" vertical="center"/>
    </xf>
    <xf numFmtId="164" fontId="3" fillId="0" borderId="122" xfId="0" applyNumberFormat="1" applyFont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distributed" shrinkToFit="1"/>
    </xf>
    <xf numFmtId="2" fontId="7" fillId="9" borderId="24" xfId="0" applyNumberFormat="1" applyFont="1" applyFill="1" applyBorder="1" applyAlignment="1">
      <alignment horizontal="center" vertical="center"/>
    </xf>
    <xf numFmtId="2" fontId="7" fillId="9" borderId="22" xfId="0" applyNumberFormat="1" applyFont="1" applyFill="1" applyBorder="1" applyAlignment="1">
      <alignment horizontal="center" vertical="center"/>
    </xf>
    <xf numFmtId="2" fontId="7" fillId="9" borderId="23" xfId="0" applyNumberFormat="1" applyFont="1" applyFill="1" applyBorder="1" applyAlignment="1">
      <alignment horizontal="center" vertical="center"/>
    </xf>
    <xf numFmtId="0" fontId="7" fillId="9" borderId="13" xfId="0" applyFont="1" applyFill="1" applyBorder="1" applyAlignment="1">
      <alignment vertical="center"/>
    </xf>
    <xf numFmtId="0" fontId="7" fillId="9" borderId="15" xfId="0" applyFont="1" applyFill="1" applyBorder="1" applyAlignment="1">
      <alignment vertical="center"/>
    </xf>
    <xf numFmtId="0" fontId="9" fillId="9" borderId="22" xfId="0" applyFont="1" applyFill="1" applyBorder="1" applyAlignment="1">
      <alignment vertical="center"/>
    </xf>
    <xf numFmtId="0" fontId="9" fillId="9" borderId="25" xfId="0" applyFont="1" applyFill="1" applyBorder="1" applyAlignment="1">
      <alignment vertical="center"/>
    </xf>
    <xf numFmtId="0" fontId="3" fillId="8" borderId="119" xfId="0" applyFont="1" applyFill="1" applyBorder="1" applyAlignment="1">
      <alignment horizontal="center" vertical="center"/>
    </xf>
    <xf numFmtId="0" fontId="3" fillId="8" borderId="120" xfId="0" applyFont="1" applyFill="1" applyBorder="1" applyAlignment="1">
      <alignment horizontal="center" vertical="center"/>
    </xf>
    <xf numFmtId="0" fontId="3" fillId="8" borderId="121" xfId="0" applyFont="1" applyFill="1" applyBorder="1" applyAlignment="1">
      <alignment horizontal="center" vertical="center"/>
    </xf>
    <xf numFmtId="0" fontId="0" fillId="12" borderId="119" xfId="0" applyFill="1" applyBorder="1" applyAlignment="1">
      <alignment horizontal="center" vertical="center"/>
    </xf>
    <xf numFmtId="0" fontId="0" fillId="12" borderId="121" xfId="0" applyFill="1" applyBorder="1" applyAlignment="1">
      <alignment horizontal="center" vertical="center"/>
    </xf>
    <xf numFmtId="164" fontId="3" fillId="12" borderId="119" xfId="0" applyNumberFormat="1" applyFont="1" applyFill="1" applyBorder="1" applyAlignment="1">
      <alignment horizontal="center" vertical="center"/>
    </xf>
    <xf numFmtId="164" fontId="3" fillId="12" borderId="121" xfId="0" applyNumberFormat="1" applyFont="1" applyFill="1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164" fontId="3" fillId="0" borderId="121" xfId="0" applyNumberFormat="1" applyFont="1" applyBorder="1" applyAlignment="1">
      <alignment horizontal="center" vertical="center"/>
    </xf>
    <xf numFmtId="0" fontId="9" fillId="10" borderId="123" xfId="0" applyFont="1" applyFill="1" applyBorder="1" applyAlignment="1">
      <alignment horizontal="left" vertical="center" shrinkToFit="1"/>
    </xf>
    <xf numFmtId="0" fontId="9" fillId="10" borderId="129" xfId="0" applyFont="1" applyFill="1" applyBorder="1" applyAlignment="1">
      <alignment horizontal="left" vertical="center" shrinkToFit="1"/>
    </xf>
    <xf numFmtId="0" fontId="17" fillId="0" borderId="133" xfId="0" applyFont="1" applyBorder="1" applyAlignment="1">
      <alignment horizontal="center" vertical="center" wrapText="1"/>
    </xf>
    <xf numFmtId="0" fontId="17" fillId="0" borderId="111" xfId="0" applyFont="1" applyBorder="1" applyAlignment="1">
      <alignment horizontal="center" vertical="center" wrapText="1"/>
    </xf>
    <xf numFmtId="0" fontId="17" fillId="0" borderId="135" xfId="0" applyFont="1" applyBorder="1" applyAlignment="1">
      <alignment horizontal="center" vertical="center" wrapText="1"/>
    </xf>
    <xf numFmtId="0" fontId="17" fillId="0" borderId="89" xfId="0" applyFont="1" applyBorder="1" applyAlignment="1">
      <alignment horizontal="center" vertical="center" wrapText="1"/>
    </xf>
    <xf numFmtId="40" fontId="20" fillId="0" borderId="76" xfId="0" applyNumberFormat="1" applyFont="1" applyBorder="1" applyAlignment="1">
      <alignment horizontal="left" vertical="center" indent="1"/>
    </xf>
    <xf numFmtId="40" fontId="0" fillId="0" borderId="89" xfId="0" applyNumberFormat="1" applyBorder="1" applyAlignment="1">
      <alignment horizontal="left" vertical="center" indent="1"/>
    </xf>
    <xf numFmtId="0" fontId="9" fillId="10" borderId="36" xfId="0" applyFont="1" applyFill="1" applyBorder="1" applyAlignment="1">
      <alignment horizontal="left" vertical="center" shrinkToFit="1"/>
    </xf>
    <xf numFmtId="0" fontId="9" fillId="10" borderId="37" xfId="0" applyFont="1" applyFill="1" applyBorder="1" applyAlignment="1">
      <alignment horizontal="left" vertical="center" shrinkToFit="1"/>
    </xf>
    <xf numFmtId="0" fontId="9" fillId="10" borderId="27" xfId="0" applyFont="1" applyFill="1" applyBorder="1" applyAlignment="1">
      <alignment horizontal="left" vertical="center" shrinkToFit="1"/>
    </xf>
    <xf numFmtId="0" fontId="9" fillId="10" borderId="15" xfId="0" applyFont="1" applyFill="1" applyBorder="1" applyAlignment="1">
      <alignment horizontal="left" vertical="center" shrinkToFit="1"/>
    </xf>
    <xf numFmtId="0" fontId="9" fillId="10" borderId="31" xfId="0" applyFont="1" applyFill="1" applyBorder="1" applyAlignment="1">
      <alignment horizontal="left" vertical="center" shrinkToFit="1"/>
    </xf>
    <xf numFmtId="0" fontId="9" fillId="10" borderId="32" xfId="0" applyFont="1" applyFill="1" applyBorder="1" applyAlignment="1">
      <alignment horizontal="left" vertical="center" shrinkToFit="1"/>
    </xf>
    <xf numFmtId="0" fontId="17" fillId="0" borderId="36" xfId="0" applyFont="1" applyFill="1" applyBorder="1" applyAlignment="1">
      <alignment horizontal="center" vertical="center" shrinkToFit="1"/>
    </xf>
    <xf numFmtId="0" fontId="17" fillId="0" borderId="37" xfId="0" applyFont="1" applyFill="1" applyBorder="1" applyAlignment="1">
      <alignment horizontal="center" vertical="center" shrinkToFit="1"/>
    </xf>
    <xf numFmtId="0" fontId="7" fillId="0" borderId="136" xfId="0" applyFont="1" applyFill="1" applyBorder="1" applyAlignment="1">
      <alignment horizontal="center" vertical="center" shrinkToFit="1"/>
    </xf>
    <xf numFmtId="0" fontId="7" fillId="0" borderId="137" xfId="0" applyFont="1" applyFill="1" applyBorder="1" applyAlignment="1">
      <alignment horizontal="center" vertical="center" shrinkToFit="1"/>
    </xf>
    <xf numFmtId="0" fontId="7" fillId="11" borderId="136" xfId="0" applyFont="1" applyFill="1" applyBorder="1" applyAlignment="1">
      <alignment horizontal="distributed" vertical="center"/>
    </xf>
    <xf numFmtId="0" fontId="0" fillId="11" borderId="137" xfId="0" applyFill="1" applyBorder="1" applyAlignment="1">
      <alignment horizontal="distributed" vertical="center"/>
    </xf>
    <xf numFmtId="0" fontId="0" fillId="11" borderId="44" xfId="0" applyFill="1" applyBorder="1" applyAlignment="1">
      <alignment horizontal="distributed" vertical="center"/>
    </xf>
    <xf numFmtId="0" fontId="0" fillId="11" borderId="0" xfId="0" applyFill="1" applyBorder="1" applyAlignment="1">
      <alignment horizontal="distributed" vertical="center"/>
    </xf>
    <xf numFmtId="0" fontId="0" fillId="11" borderId="123" xfId="0" applyFill="1" applyBorder="1" applyAlignment="1">
      <alignment horizontal="distributed" vertical="center"/>
    </xf>
    <xf numFmtId="0" fontId="0" fillId="11" borderId="129" xfId="0" applyFill="1" applyBorder="1" applyAlignment="1">
      <alignment horizontal="distributed" vertical="center"/>
    </xf>
    <xf numFmtId="0" fontId="7" fillId="0" borderId="144" xfId="0" applyFont="1" applyBorder="1" applyAlignment="1">
      <alignment horizontal="center" vertical="center"/>
    </xf>
    <xf numFmtId="0" fontId="7" fillId="0" borderId="145" xfId="0" applyFont="1" applyBorder="1" applyAlignment="1">
      <alignment horizontal="center" vertical="center"/>
    </xf>
    <xf numFmtId="14" fontId="2" fillId="0" borderId="24" xfId="0" applyNumberFormat="1" applyFont="1" applyBorder="1" applyAlignment="1">
      <alignment horizontal="center" vertical="center"/>
    </xf>
    <xf numFmtId="14" fontId="2" fillId="0" borderId="22" xfId="0" applyNumberFormat="1" applyFont="1" applyBorder="1" applyAlignment="1">
      <alignment horizontal="center" vertical="center"/>
    </xf>
    <xf numFmtId="14" fontId="2" fillId="0" borderId="23" xfId="0" applyNumberFormat="1" applyFont="1" applyBorder="1" applyAlignment="1">
      <alignment horizontal="center" vertical="center"/>
    </xf>
    <xf numFmtId="0" fontId="7" fillId="0" borderId="124" xfId="0" applyFont="1" applyBorder="1" applyAlignment="1">
      <alignment vertical="center"/>
    </xf>
    <xf numFmtId="0" fontId="7" fillId="0" borderId="125" xfId="0" applyFont="1" applyBorder="1" applyAlignment="1">
      <alignment vertical="center"/>
    </xf>
    <xf numFmtId="0" fontId="2" fillId="0" borderId="124" xfId="0" applyFont="1" applyBorder="1" applyAlignment="1">
      <alignment horizontal="center" vertical="center" wrapText="1"/>
    </xf>
    <xf numFmtId="0" fontId="2" fillId="0" borderId="125" xfId="0" applyFont="1" applyBorder="1" applyAlignment="1">
      <alignment horizontal="center" vertical="center"/>
    </xf>
    <xf numFmtId="0" fontId="2" fillId="0" borderId="126" xfId="0" applyFont="1" applyBorder="1" applyAlignment="1">
      <alignment horizontal="center" vertical="center"/>
    </xf>
    <xf numFmtId="0" fontId="2" fillId="0" borderId="127" xfId="0" applyFont="1" applyBorder="1" applyAlignment="1">
      <alignment vertical="top" wrapText="1"/>
    </xf>
    <xf numFmtId="0" fontId="2" fillId="0" borderId="125" xfId="0" applyFont="1" applyBorder="1" applyAlignment="1">
      <alignment vertical="top" wrapText="1"/>
    </xf>
    <xf numFmtId="0" fontId="2" fillId="0" borderId="126" xfId="0" applyFont="1" applyBorder="1" applyAlignment="1">
      <alignment vertical="top" wrapText="1"/>
    </xf>
    <xf numFmtId="0" fontId="2" fillId="0" borderId="128" xfId="0" applyFont="1" applyBorder="1" applyAlignment="1">
      <alignment vertical="top" wrapText="1"/>
    </xf>
    <xf numFmtId="14" fontId="2" fillId="0" borderId="139" xfId="0" applyNumberFormat="1" applyFont="1" applyBorder="1" applyAlignment="1">
      <alignment horizontal="left" vertical="center"/>
    </xf>
    <xf numFmtId="0" fontId="2" fillId="0" borderId="137" xfId="0" applyNumberFormat="1" applyFont="1" applyBorder="1" applyAlignment="1">
      <alignment horizontal="left" vertical="center"/>
    </xf>
    <xf numFmtId="0" fontId="2" fillId="0" borderId="140" xfId="0" applyNumberFormat="1" applyFont="1" applyBorder="1" applyAlignment="1">
      <alignment horizontal="left" vertical="center"/>
    </xf>
    <xf numFmtId="0" fontId="7" fillId="0" borderId="146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172" fontId="2" fillId="0" borderId="13" xfId="0" applyNumberFormat="1" applyFont="1" applyBorder="1" applyAlignment="1">
      <alignment horizontal="center" vertical="center"/>
    </xf>
    <xf numFmtId="172" fontId="2" fillId="0" borderId="15" xfId="0" applyNumberFormat="1" applyFont="1" applyBorder="1" applyAlignment="1">
      <alignment horizontal="center" vertical="center"/>
    </xf>
    <xf numFmtId="172" fontId="2" fillId="0" borderId="28" xfId="0" applyNumberFormat="1" applyFont="1" applyBorder="1" applyAlignment="1">
      <alignment horizontal="center" vertical="center"/>
    </xf>
    <xf numFmtId="0" fontId="7" fillId="0" borderId="147" xfId="0" applyFont="1" applyBorder="1" applyAlignment="1">
      <alignment horizontal="center" vertical="center"/>
    </xf>
    <xf numFmtId="0" fontId="7" fillId="0" borderId="148" xfId="0" applyFont="1" applyBorder="1" applyAlignment="1">
      <alignment horizontal="center" vertical="center"/>
    </xf>
    <xf numFmtId="172" fontId="2" fillId="0" borderId="119" xfId="0" applyNumberFormat="1" applyFont="1" applyBorder="1" applyAlignment="1">
      <alignment horizontal="center" vertical="center"/>
    </xf>
    <xf numFmtId="172" fontId="2" fillId="0" borderId="120" xfId="0" applyNumberFormat="1" applyFont="1" applyBorder="1" applyAlignment="1">
      <alignment horizontal="center" vertical="center"/>
    </xf>
    <xf numFmtId="172" fontId="2" fillId="0" borderId="121" xfId="0" applyNumberFormat="1" applyFont="1" applyBorder="1" applyAlignment="1">
      <alignment horizontal="center" vertical="center"/>
    </xf>
    <xf numFmtId="0" fontId="2" fillId="0" borderId="119" xfId="0" applyNumberFormat="1" applyFont="1" applyBorder="1" applyAlignment="1">
      <alignment horizontal="left" vertical="center"/>
    </xf>
    <xf numFmtId="0" fontId="2" fillId="0" borderId="120" xfId="0" applyNumberFormat="1" applyFont="1" applyBorder="1" applyAlignment="1">
      <alignment horizontal="left" vertical="center"/>
    </xf>
    <xf numFmtId="0" fontId="2" fillId="0" borderId="122" xfId="0" applyNumberFormat="1" applyFont="1" applyBorder="1" applyAlignment="1">
      <alignment horizontal="left" vertical="center"/>
    </xf>
    <xf numFmtId="0" fontId="28" fillId="0" borderId="9" xfId="0" applyFont="1" applyBorder="1" applyAlignment="1">
      <alignment horizontal="center"/>
    </xf>
  </cellXfs>
  <cellStyles count="6">
    <cellStyle name="Comma [0]" xfId="1" builtinId="6"/>
    <cellStyle name="Normal" xfId="0" builtinId="0"/>
    <cellStyle name="標準 2" xfId="4"/>
    <cellStyle name="標準 2 3" xfId="5"/>
    <cellStyle name="標準_【変更】新部品見積明細フォーマットP003" xfId="3"/>
    <cellStyle name="標準_海外生産・ASSY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95250</xdr:colOff>
      <xdr:row>1</xdr:row>
      <xdr:rowOff>285750</xdr:rowOff>
    </xdr:from>
    <xdr:to>
      <xdr:col>9</xdr:col>
      <xdr:colOff>476249</xdr:colOff>
      <xdr:row>3</xdr:row>
      <xdr:rowOff>190500</xdr:rowOff>
    </xdr:to>
    <xdr:sp macro="" textlink="">
      <xdr:nvSpPr>
        <xdr:cNvPr id="2" name="Rectangle 34"/>
        <xdr:cNvSpPr>
          <a:spLocks noChangeArrowheads="1"/>
        </xdr:cNvSpPr>
      </xdr:nvSpPr>
      <xdr:spPr bwMode="auto">
        <a:xfrm>
          <a:off x="95250" y="557893"/>
          <a:ext cx="5361213" cy="857250"/>
        </a:xfrm>
        <a:prstGeom prst="rect">
          <a:avLst/>
        </a:prstGeom>
        <a:noFill/>
        <a:ln w="76200" cmpd="tri">
          <a:noFill/>
          <a:miter lim="800000"/>
          <a:headEnd/>
          <a:tailEnd/>
        </a:ln>
      </xdr:spPr>
      <xdr:txBody>
        <a:bodyPr vertOverflow="clip" wrap="square" lIns="126000" tIns="118800" rIns="126000" bIns="118800" anchor="ctr" upright="1"/>
        <a:lstStyle/>
        <a:p>
          <a:pPr algn="dist" rtl="0">
            <a:defRPr sz="1000"/>
          </a:pPr>
          <a:r>
            <a:rPr lang="en-US" altLang="ja-JP" sz="3600" b="1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Quotation cost</a:t>
          </a:r>
          <a:endParaRPr lang="ja-JP" altLang="en-US" sz="3600" b="1" i="0" u="none" strike="noStrike" baseline="0">
            <a:solidFill>
              <a:srgbClr val="000000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4</xdr:col>
      <xdr:colOff>28575</xdr:colOff>
      <xdr:row>0</xdr:row>
      <xdr:rowOff>28574</xdr:rowOff>
    </xdr:from>
    <xdr:to>
      <xdr:col>9</xdr:col>
      <xdr:colOff>557892</xdr:colOff>
      <xdr:row>5</xdr:row>
      <xdr:rowOff>421820</xdr:rowOff>
    </xdr:to>
    <xdr:grpSp>
      <xdr:nvGrpSpPr>
        <xdr:cNvPr id="3" name="Group 66"/>
        <xdr:cNvGrpSpPr>
          <a:grpSpLocks/>
        </xdr:cNvGrpSpPr>
      </xdr:nvGrpSpPr>
      <xdr:grpSpPr bwMode="auto">
        <a:xfrm>
          <a:off x="28575" y="28574"/>
          <a:ext cx="5509531" cy="2570389"/>
          <a:chOff x="10" y="12"/>
          <a:chExt cx="473" cy="122"/>
        </a:xfrm>
      </xdr:grpSpPr>
      <xdr:sp macro="" textlink="">
        <xdr:nvSpPr>
          <xdr:cNvPr id="4" name="Rectangle 35"/>
          <xdr:cNvSpPr>
            <a:spLocks noChangeArrowheads="1"/>
          </xdr:cNvSpPr>
        </xdr:nvSpPr>
        <xdr:spPr bwMode="auto">
          <a:xfrm>
            <a:off x="10" y="12"/>
            <a:ext cx="473" cy="122"/>
          </a:xfrm>
          <a:prstGeom prst="rect">
            <a:avLst/>
          </a:prstGeom>
          <a:noFill/>
          <a:ln w="76200" cmpd="tri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" name="Rectangle 36"/>
          <xdr:cNvSpPr>
            <a:spLocks noChangeArrowheads="1"/>
          </xdr:cNvSpPr>
        </xdr:nvSpPr>
        <xdr:spPr bwMode="auto">
          <a:xfrm>
            <a:off x="85" y="92"/>
            <a:ext cx="326" cy="2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36576" tIns="22860" rIns="36576" bIns="22860" anchor="ctr" upright="1"/>
          <a:lstStyle/>
          <a:p>
            <a:pPr algn="dist" rtl="0">
              <a:defRPr sz="1000"/>
            </a:pPr>
            <a:r>
              <a:rPr lang="en-US" altLang="ja-JP" sz="1400" b="1" i="0" u="none" strike="noStrike" baseline="0">
                <a:solidFill>
                  <a:srgbClr val="000000"/>
                </a:solidFill>
                <a:latin typeface="ＭＳ Ｐ明朝"/>
                <a:ea typeface="ＭＳ Ｐ明朝"/>
              </a:rPr>
              <a:t>(ASSY</a:t>
            </a:r>
            <a:r>
              <a:rPr lang="ja-JP" altLang="en-US" sz="1400" b="1" i="0" u="none" strike="noStrike" baseline="0">
                <a:solidFill>
                  <a:srgbClr val="000000"/>
                </a:solidFill>
                <a:latin typeface="ＭＳ Ｐ明朝"/>
                <a:ea typeface="ＭＳ Ｐ明朝"/>
              </a:rPr>
              <a:t>）</a:t>
            </a:r>
          </a:p>
        </xdr:txBody>
      </xdr:sp>
      <xdr:sp macro="" textlink="">
        <xdr:nvSpPr>
          <xdr:cNvPr id="6" name="Rectangle 37"/>
          <xdr:cNvSpPr>
            <a:spLocks noChangeArrowheads="1"/>
          </xdr:cNvSpPr>
        </xdr:nvSpPr>
        <xdr:spPr bwMode="auto">
          <a:xfrm>
            <a:off x="431" y="101"/>
            <a:ext cx="32" cy="1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明朝"/>
                <a:ea typeface="ＭＳ Ｐ明朝"/>
              </a:rPr>
              <a:t>S003</a:t>
            </a:r>
          </a:p>
        </xdr:txBody>
      </xdr:sp>
    </xdr:grpSp>
    <xdr:clientData/>
  </xdr:twoCellAnchor>
  <xdr:twoCellAnchor editAs="oneCell">
    <xdr:from>
      <xdr:col>5</xdr:col>
      <xdr:colOff>530678</xdr:colOff>
      <xdr:row>0</xdr:row>
      <xdr:rowOff>178253</xdr:rowOff>
    </xdr:from>
    <xdr:to>
      <xdr:col>8</xdr:col>
      <xdr:colOff>601435</xdr:colOff>
      <xdr:row>1</xdr:row>
      <xdr:rowOff>401410</xdr:rowOff>
    </xdr:to>
    <xdr:pic>
      <xdr:nvPicPr>
        <xdr:cNvPr id="7" name="図 3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69571" y="178253"/>
          <a:ext cx="2628900" cy="495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180975</xdr:rowOff>
        </xdr:from>
        <xdr:to>
          <xdr:col>11</xdr:col>
          <xdr:colOff>9525</xdr:colOff>
          <xdr:row>1</xdr:row>
          <xdr:rowOff>409575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SEND EMAIL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AO117"/>
  <sheetViews>
    <sheetView showGridLines="0" tabSelected="1" view="pageBreakPreview" topLeftCell="E1" zoomScale="70" zoomScaleNormal="55" zoomScaleSheetLayoutView="70" workbookViewId="0">
      <selection activeCell="Q3" sqref="Q3"/>
    </sheetView>
  </sheetViews>
  <sheetFormatPr defaultRowHeight="17.25"/>
  <cols>
    <col min="1" max="1" width="0" hidden="1" customWidth="1"/>
    <col min="2" max="4" width="9" hidden="1" customWidth="1"/>
    <col min="5" max="5" width="12.375" style="1" customWidth="1"/>
    <col min="6" max="6" width="7.75" style="1" customWidth="1"/>
    <col min="7" max="7" width="12.5" style="1" customWidth="1"/>
    <col min="8" max="8" width="13.375" style="2" customWidth="1"/>
    <col min="9" max="9" width="19.5" bestFit="1" customWidth="1"/>
    <col min="10" max="10" width="15" customWidth="1"/>
    <col min="11" max="11" width="16.125" bestFit="1" customWidth="1"/>
    <col min="12" max="12" width="13.875" customWidth="1"/>
    <col min="13" max="13" width="19.5" bestFit="1" customWidth="1"/>
    <col min="14" max="14" width="15" customWidth="1"/>
    <col min="15" max="15" width="16.125" bestFit="1" customWidth="1"/>
    <col min="16" max="16" width="13.875" customWidth="1"/>
    <col min="17" max="17" width="19.5" bestFit="1" customWidth="1"/>
    <col min="18" max="18" width="15" customWidth="1"/>
    <col min="19" max="19" width="16.125" bestFit="1" customWidth="1"/>
    <col min="20" max="20" width="13.875" customWidth="1"/>
    <col min="21" max="25" width="5.875" customWidth="1"/>
    <col min="26" max="26" width="10.75" customWidth="1"/>
    <col min="27" max="27" width="10.625" bestFit="1" customWidth="1"/>
    <col min="28" max="28" width="5.625" bestFit="1" customWidth="1"/>
    <col min="29" max="29" width="13" style="32" bestFit="1" customWidth="1"/>
    <col min="30" max="30" width="6.625" bestFit="1" customWidth="1"/>
    <col min="31" max="31" width="15.5" bestFit="1" customWidth="1"/>
    <col min="32" max="32" width="15.625" bestFit="1" customWidth="1"/>
    <col min="33" max="33" width="16.75" bestFit="1" customWidth="1"/>
    <col min="34" max="34" width="15.625" bestFit="1" customWidth="1"/>
    <col min="35" max="35" width="11.75" bestFit="1" customWidth="1"/>
    <col min="36" max="36" width="13.25" bestFit="1" customWidth="1"/>
    <col min="37" max="37" width="11.625" bestFit="1" customWidth="1"/>
    <col min="40" max="40" width="14.5" bestFit="1" customWidth="1"/>
    <col min="41" max="41" width="3" bestFit="1" customWidth="1"/>
  </cols>
  <sheetData>
    <row r="1" spans="5:41" ht="21" customHeight="1" thickBot="1">
      <c r="E1" s="450" t="s">
        <v>308</v>
      </c>
      <c r="F1" s="450">
        <v>2</v>
      </c>
      <c r="G1" s="450" t="s">
        <v>483</v>
      </c>
      <c r="H1" s="451" t="s">
        <v>484</v>
      </c>
      <c r="Z1" s="3" t="s">
        <v>0</v>
      </c>
      <c r="AA1" s="3"/>
      <c r="AB1" s="3"/>
      <c r="AC1" s="3"/>
      <c r="AD1" s="3"/>
      <c r="AE1" s="3"/>
      <c r="AF1" s="3"/>
      <c r="AG1" s="3"/>
      <c r="AH1" s="4"/>
      <c r="AI1" s="5"/>
      <c r="AJ1" s="3"/>
      <c r="AK1" s="3"/>
      <c r="AL1" s="6"/>
      <c r="AM1" s="6"/>
      <c r="AN1" s="6"/>
      <c r="AO1" s="6"/>
    </row>
    <row r="2" spans="5:41" ht="37.5" customHeight="1" thickBot="1">
      <c r="K2" s="452"/>
      <c r="L2" s="452"/>
      <c r="M2" s="452"/>
      <c r="N2" s="452"/>
      <c r="Z2" s="7" t="s">
        <v>1</v>
      </c>
      <c r="AA2" s="7" t="s">
        <v>2</v>
      </c>
      <c r="AB2" s="7" t="s">
        <v>3</v>
      </c>
      <c r="AC2" s="7" t="s">
        <v>4</v>
      </c>
      <c r="AD2" s="7" t="s">
        <v>5</v>
      </c>
      <c r="AE2" s="7" t="s">
        <v>6</v>
      </c>
      <c r="AF2" s="7" t="s">
        <v>7</v>
      </c>
      <c r="AG2" s="8" t="s">
        <v>8</v>
      </c>
      <c r="AH2" s="9" t="s">
        <v>9</v>
      </c>
      <c r="AI2" s="9" t="s">
        <v>10</v>
      </c>
      <c r="AJ2" s="7" t="s">
        <v>11</v>
      </c>
      <c r="AK2" s="7" t="s">
        <v>12</v>
      </c>
      <c r="AL2" s="7" t="s">
        <v>13</v>
      </c>
    </row>
    <row r="3" spans="5:41" ht="37.5" customHeight="1" thickBot="1">
      <c r="K3" s="10" t="s">
        <v>14</v>
      </c>
      <c r="L3" s="11"/>
      <c r="M3" s="12"/>
      <c r="N3" s="12"/>
      <c r="O3" s="12"/>
      <c r="P3" s="13" t="s">
        <v>15</v>
      </c>
      <c r="Q3" s="14"/>
      <c r="S3" s="553">
        <f ca="1">TODAY()</f>
        <v>42313</v>
      </c>
      <c r="T3" s="553"/>
      <c r="U3" s="15"/>
      <c r="V3" s="15"/>
      <c r="W3" s="15"/>
      <c r="X3" s="15"/>
      <c r="Y3" s="15"/>
      <c r="Z3" s="16" t="s">
        <v>16</v>
      </c>
      <c r="AA3" s="16" t="s">
        <v>17</v>
      </c>
      <c r="AB3" s="17" t="s">
        <v>18</v>
      </c>
      <c r="AC3" s="18" t="s">
        <v>19</v>
      </c>
      <c r="AD3" s="17" t="s">
        <v>20</v>
      </c>
      <c r="AE3" s="19" t="s">
        <v>21</v>
      </c>
      <c r="AF3" s="20" t="s">
        <v>22</v>
      </c>
      <c r="AG3" s="21" t="s">
        <v>23</v>
      </c>
      <c r="AH3" s="22" t="s">
        <v>24</v>
      </c>
      <c r="AI3" s="23" t="s">
        <v>25</v>
      </c>
      <c r="AJ3" s="17" t="s">
        <v>26</v>
      </c>
      <c r="AK3" s="17" t="s">
        <v>27</v>
      </c>
      <c r="AL3" s="24" t="s">
        <v>28</v>
      </c>
    </row>
    <row r="4" spans="5:41" ht="37.5" customHeight="1">
      <c r="K4" s="25" t="s">
        <v>29</v>
      </c>
      <c r="L4" s="26"/>
      <c r="M4" s="27"/>
      <c r="N4" s="27"/>
      <c r="O4" s="28"/>
      <c r="P4" s="29"/>
      <c r="Q4" s="30"/>
      <c r="Z4" s="31" t="s">
        <v>30</v>
      </c>
      <c r="AA4" s="32"/>
      <c r="AB4" s="33" t="s">
        <v>31</v>
      </c>
      <c r="AC4" s="31" t="s">
        <v>32</v>
      </c>
      <c r="AD4" s="31" t="s">
        <v>33</v>
      </c>
      <c r="AE4" s="33" t="s">
        <v>34</v>
      </c>
      <c r="AF4" s="34"/>
      <c r="AG4" s="21" t="s">
        <v>35</v>
      </c>
      <c r="AH4" s="21" t="s">
        <v>36</v>
      </c>
      <c r="AI4" s="35" t="s">
        <v>37</v>
      </c>
      <c r="AJ4" s="33" t="s">
        <v>38</v>
      </c>
      <c r="AK4" s="31" t="s">
        <v>39</v>
      </c>
    </row>
    <row r="5" spans="5:41" ht="37.5" customHeight="1">
      <c r="K5" s="36" t="s">
        <v>40</v>
      </c>
      <c r="L5" s="37"/>
      <c r="M5" s="38"/>
      <c r="N5" s="38"/>
      <c r="O5" s="39"/>
      <c r="P5" s="40"/>
      <c r="Q5" s="30"/>
      <c r="Z5" s="41" t="s">
        <v>41</v>
      </c>
      <c r="AA5" s="42"/>
      <c r="AB5" s="43"/>
      <c r="AC5" s="31" t="s">
        <v>42</v>
      </c>
      <c r="AD5" s="31" t="s">
        <v>43</v>
      </c>
      <c r="AE5" s="33"/>
      <c r="AF5" s="44" t="s">
        <v>44</v>
      </c>
      <c r="AG5" s="21" t="s">
        <v>45</v>
      </c>
      <c r="AH5" s="21" t="s">
        <v>46</v>
      </c>
      <c r="AI5" s="35" t="s">
        <v>47</v>
      </c>
      <c r="AJ5" s="33" t="s">
        <v>48</v>
      </c>
      <c r="AK5" s="31" t="s">
        <v>49</v>
      </c>
    </row>
    <row r="6" spans="5:41" ht="37.5" customHeight="1" thickBot="1">
      <c r="G6" s="554" t="s">
        <v>50</v>
      </c>
      <c r="H6" s="554"/>
      <c r="I6" s="554"/>
      <c r="K6" s="45" t="s">
        <v>51</v>
      </c>
      <c r="L6" s="46"/>
      <c r="M6" s="47"/>
      <c r="N6" s="47"/>
      <c r="O6" s="48"/>
      <c r="P6" s="30"/>
      <c r="Q6" s="30"/>
      <c r="S6" s="49" t="s">
        <v>52</v>
      </c>
      <c r="Z6" s="41" t="s">
        <v>53</v>
      </c>
      <c r="AA6" s="42"/>
      <c r="AB6" s="43"/>
      <c r="AC6" s="31" t="s">
        <v>54</v>
      </c>
      <c r="AD6" s="31" t="s">
        <v>55</v>
      </c>
      <c r="AE6" s="50"/>
      <c r="AF6" s="34"/>
      <c r="AG6" s="21" t="s">
        <v>56</v>
      </c>
      <c r="AH6" s="21" t="s">
        <v>57</v>
      </c>
      <c r="AI6" s="51" t="s">
        <v>58</v>
      </c>
      <c r="AJ6" s="33" t="s">
        <v>59</v>
      </c>
      <c r="AK6" s="31" t="s">
        <v>60</v>
      </c>
    </row>
    <row r="7" spans="5:41" ht="6.75" customHeight="1" thickBot="1">
      <c r="Z7" s="31" t="s">
        <v>61</v>
      </c>
      <c r="AA7" s="42"/>
      <c r="AB7" s="42"/>
      <c r="AC7" s="41" t="s">
        <v>62</v>
      </c>
      <c r="AD7" s="31" t="s">
        <v>63</v>
      </c>
      <c r="AE7" s="32"/>
      <c r="AF7" s="34"/>
      <c r="AG7" s="35" t="s">
        <v>64</v>
      </c>
      <c r="AH7" s="21" t="s">
        <v>65</v>
      </c>
      <c r="AI7" s="35" t="s">
        <v>66</v>
      </c>
      <c r="AJ7" s="33" t="s">
        <v>67</v>
      </c>
      <c r="AK7" s="31" t="s">
        <v>68</v>
      </c>
    </row>
    <row r="8" spans="5:41" ht="20.25" customHeight="1" thickTop="1">
      <c r="E8" s="555" t="s">
        <v>69</v>
      </c>
      <c r="F8" s="556"/>
      <c r="G8" s="556"/>
      <c r="H8" s="557"/>
      <c r="I8" s="475" t="s">
        <v>479</v>
      </c>
      <c r="J8" s="477" t="s">
        <v>435</v>
      </c>
      <c r="K8" s="477"/>
      <c r="L8" s="477"/>
      <c r="M8" s="52" t="s">
        <v>70</v>
      </c>
      <c r="N8" s="53"/>
      <c r="O8" s="53"/>
      <c r="P8" s="53"/>
      <c r="Q8" s="52"/>
      <c r="R8" s="53"/>
      <c r="S8" s="53"/>
      <c r="T8" s="54"/>
      <c r="U8" s="55"/>
      <c r="V8" s="55"/>
      <c r="W8" s="55"/>
      <c r="X8" s="55"/>
      <c r="Y8" s="55"/>
      <c r="Z8" s="41" t="s">
        <v>71</v>
      </c>
      <c r="AA8" s="32"/>
      <c r="AB8" s="42"/>
      <c r="AC8" s="41" t="s">
        <v>72</v>
      </c>
      <c r="AD8" s="56" t="s">
        <v>73</v>
      </c>
      <c r="AE8" s="32"/>
      <c r="AF8" s="57"/>
      <c r="AG8" s="35" t="s">
        <v>74</v>
      </c>
      <c r="AH8" s="21" t="s">
        <v>75</v>
      </c>
      <c r="AI8" s="35" t="s">
        <v>76</v>
      </c>
      <c r="AJ8" s="58" t="s">
        <v>77</v>
      </c>
      <c r="AK8" s="41" t="s">
        <v>78</v>
      </c>
      <c r="AL8" s="59"/>
    </row>
    <row r="9" spans="5:41" ht="20.25" customHeight="1">
      <c r="E9" s="550" t="s">
        <v>79</v>
      </c>
      <c r="F9" s="551"/>
      <c r="G9" s="551"/>
      <c r="H9" s="552"/>
      <c r="I9" s="476" t="s">
        <v>480</v>
      </c>
      <c r="J9" s="478"/>
      <c r="K9" s="479"/>
      <c r="L9" s="480"/>
      <c r="M9" s="60" t="s">
        <v>80</v>
      </c>
      <c r="N9" s="61"/>
      <c r="O9" s="62"/>
      <c r="P9" s="63"/>
      <c r="Q9" s="60"/>
      <c r="R9" s="61"/>
      <c r="S9" s="62"/>
      <c r="T9" s="64"/>
      <c r="U9" s="55"/>
      <c r="V9" s="55"/>
      <c r="W9" s="55"/>
      <c r="X9" s="55"/>
      <c r="Y9" s="55"/>
      <c r="Z9" s="41" t="s">
        <v>81</v>
      </c>
      <c r="AA9" s="42"/>
      <c r="AB9" s="42"/>
      <c r="AC9" s="35" t="s">
        <v>82</v>
      </c>
      <c r="AD9" s="65" t="s">
        <v>83</v>
      </c>
      <c r="AE9" s="32"/>
      <c r="AF9" s="57"/>
      <c r="AG9" s="51" t="s">
        <v>84</v>
      </c>
      <c r="AH9" s="21" t="s">
        <v>85</v>
      </c>
      <c r="AI9" s="35" t="s">
        <v>86</v>
      </c>
      <c r="AJ9" s="58" t="s">
        <v>87</v>
      </c>
      <c r="AK9" s="41" t="s">
        <v>88</v>
      </c>
      <c r="AL9" s="59"/>
    </row>
    <row r="10" spans="5:41" ht="20.25" customHeight="1">
      <c r="E10" s="550" t="s">
        <v>478</v>
      </c>
      <c r="F10" s="551"/>
      <c r="G10" s="551"/>
      <c r="H10" s="552"/>
      <c r="I10" s="468" t="s">
        <v>481</v>
      </c>
      <c r="J10" s="469"/>
      <c r="K10" s="470"/>
      <c r="L10" s="471"/>
      <c r="M10" s="468"/>
      <c r="N10" s="469"/>
      <c r="O10" s="470"/>
      <c r="P10" s="471"/>
      <c r="Q10" s="468"/>
      <c r="R10" s="469"/>
      <c r="S10" s="470"/>
      <c r="T10" s="472"/>
      <c r="U10" s="55"/>
      <c r="V10" s="55"/>
      <c r="W10" s="55"/>
      <c r="X10" s="55"/>
      <c r="Y10" s="55"/>
      <c r="Z10" s="41"/>
      <c r="AA10" s="42"/>
      <c r="AB10" s="42"/>
      <c r="AC10" s="35"/>
      <c r="AD10" s="65"/>
      <c r="AE10" s="32"/>
      <c r="AF10" s="57"/>
      <c r="AG10" s="473"/>
      <c r="AH10" s="21"/>
      <c r="AI10" s="35"/>
      <c r="AJ10" s="474"/>
      <c r="AK10" s="41"/>
      <c r="AL10" s="59"/>
    </row>
    <row r="11" spans="5:41" ht="20.25" customHeight="1">
      <c r="E11" s="558" t="s">
        <v>89</v>
      </c>
      <c r="F11" s="559"/>
      <c r="G11" s="559"/>
      <c r="H11" s="560"/>
      <c r="I11" s="561"/>
      <c r="J11" s="562"/>
      <c r="K11" s="562"/>
      <c r="L11" s="563"/>
      <c r="M11" s="561" t="s">
        <v>90</v>
      </c>
      <c r="N11" s="562"/>
      <c r="O11" s="562"/>
      <c r="P11" s="563"/>
      <c r="Q11" s="561"/>
      <c r="R11" s="562"/>
      <c r="S11" s="562"/>
      <c r="T11" s="564"/>
      <c r="U11" s="66"/>
      <c r="V11" s="66"/>
      <c r="W11" s="66"/>
      <c r="X11" s="66"/>
      <c r="Y11" s="66"/>
      <c r="Z11" s="41" t="s">
        <v>91</v>
      </c>
      <c r="AA11" s="42"/>
      <c r="AB11" s="42"/>
      <c r="AC11" s="35" t="s">
        <v>92</v>
      </c>
      <c r="AD11" s="67" t="s">
        <v>93</v>
      </c>
      <c r="AE11" s="42"/>
      <c r="AF11" s="57"/>
      <c r="AG11" s="68"/>
      <c r="AH11" s="21" t="s">
        <v>94</v>
      </c>
      <c r="AI11" s="35" t="s">
        <v>95</v>
      </c>
      <c r="AJ11" s="42"/>
      <c r="AK11" s="41" t="s">
        <v>96</v>
      </c>
      <c r="AL11" s="59"/>
    </row>
    <row r="12" spans="5:41" ht="20.25" customHeight="1">
      <c r="E12" s="543"/>
      <c r="F12" s="544"/>
      <c r="G12" s="544"/>
      <c r="H12" s="545"/>
      <c r="I12" s="546"/>
      <c r="J12" s="547"/>
      <c r="K12" s="547"/>
      <c r="L12" s="548"/>
      <c r="M12" s="546"/>
      <c r="N12" s="547"/>
      <c r="O12" s="547"/>
      <c r="P12" s="548"/>
      <c r="Q12" s="546"/>
      <c r="R12" s="547"/>
      <c r="S12" s="547"/>
      <c r="T12" s="549"/>
      <c r="U12" s="69"/>
      <c r="V12" s="69"/>
      <c r="W12" s="69"/>
      <c r="X12" s="69"/>
      <c r="Y12" s="69"/>
      <c r="Z12" s="41" t="s">
        <v>97</v>
      </c>
      <c r="AA12" s="42"/>
      <c r="AB12" s="42"/>
      <c r="AC12" s="41" t="s">
        <v>98</v>
      </c>
      <c r="AD12" s="67" t="s">
        <v>99</v>
      </c>
      <c r="AE12" s="42"/>
      <c r="AF12" s="57"/>
      <c r="AG12" s="70"/>
      <c r="AH12" s="21" t="s">
        <v>100</v>
      </c>
      <c r="AI12" s="35" t="s">
        <v>101</v>
      </c>
      <c r="AJ12" s="70"/>
      <c r="AK12" s="41" t="s">
        <v>102</v>
      </c>
      <c r="AL12" s="59"/>
    </row>
    <row r="13" spans="5:41" ht="20.25" customHeight="1">
      <c r="E13" s="550" t="s">
        <v>103</v>
      </c>
      <c r="F13" s="551"/>
      <c r="G13" s="551"/>
      <c r="H13" s="552"/>
      <c r="I13" s="71">
        <v>16000</v>
      </c>
      <c r="J13" s="72"/>
      <c r="K13" s="73" t="s">
        <v>105</v>
      </c>
      <c r="L13" s="74"/>
      <c r="M13" s="71" t="s">
        <v>104</v>
      </c>
      <c r="N13" s="72"/>
      <c r="O13" s="73" t="s">
        <v>105</v>
      </c>
      <c r="P13" s="74" t="s">
        <v>20</v>
      </c>
      <c r="Q13" s="71"/>
      <c r="R13" s="72"/>
      <c r="S13" s="73" t="s">
        <v>105</v>
      </c>
      <c r="T13" s="75"/>
      <c r="U13" s="76"/>
      <c r="V13" s="76"/>
      <c r="W13" s="76"/>
      <c r="X13" s="76"/>
      <c r="Y13" s="76"/>
      <c r="Z13" s="41" t="s">
        <v>106</v>
      </c>
      <c r="AA13" s="42"/>
      <c r="AB13" s="42"/>
      <c r="AC13" s="41" t="s">
        <v>107</v>
      </c>
      <c r="AD13" s="67"/>
      <c r="AE13" s="42"/>
      <c r="AF13" s="57"/>
      <c r="AG13" s="70"/>
      <c r="AH13" s="21" t="s">
        <v>108</v>
      </c>
      <c r="AI13" s="35" t="s">
        <v>109</v>
      </c>
      <c r="AJ13" s="70"/>
      <c r="AK13" s="41" t="s">
        <v>110</v>
      </c>
      <c r="AL13" s="59"/>
    </row>
    <row r="14" spans="5:41" ht="20.25" customHeight="1">
      <c r="E14" s="550" t="s">
        <v>111</v>
      </c>
      <c r="F14" s="551"/>
      <c r="G14" s="551"/>
      <c r="H14" s="552"/>
      <c r="I14" s="77"/>
      <c r="J14" s="78"/>
      <c r="K14" s="79" t="s">
        <v>112</v>
      </c>
      <c r="L14" s="80"/>
      <c r="M14" s="77">
        <v>16000</v>
      </c>
      <c r="N14" s="78"/>
      <c r="O14" s="79" t="s">
        <v>112</v>
      </c>
      <c r="P14" s="80">
        <v>80</v>
      </c>
      <c r="Q14" s="77"/>
      <c r="R14" s="78"/>
      <c r="S14" s="79" t="s">
        <v>112</v>
      </c>
      <c r="T14" s="81"/>
      <c r="U14" s="82"/>
      <c r="V14" s="82"/>
      <c r="W14" s="82"/>
      <c r="X14" s="82"/>
      <c r="Y14" s="82"/>
      <c r="Z14" s="41" t="s">
        <v>113</v>
      </c>
      <c r="AA14" s="42"/>
      <c r="AB14" s="42"/>
      <c r="AC14" s="41" t="s">
        <v>114</v>
      </c>
      <c r="AD14" s="42"/>
      <c r="AE14" s="42"/>
      <c r="AF14" s="57"/>
      <c r="AG14" s="70"/>
      <c r="AH14" s="21" t="s">
        <v>115</v>
      </c>
      <c r="AI14" s="35" t="s">
        <v>116</v>
      </c>
      <c r="AJ14" s="70"/>
      <c r="AK14" s="41" t="s">
        <v>117</v>
      </c>
      <c r="AL14" s="59"/>
    </row>
    <row r="15" spans="5:41" ht="20.25" customHeight="1">
      <c r="E15" s="83" t="s">
        <v>118</v>
      </c>
      <c r="F15" s="565" t="s">
        <v>119</v>
      </c>
      <c r="G15" s="566"/>
      <c r="H15" s="84"/>
      <c r="I15" s="586" t="s">
        <v>120</v>
      </c>
      <c r="J15" s="587"/>
      <c r="K15" s="576" t="s">
        <v>121</v>
      </c>
      <c r="L15" s="588"/>
      <c r="M15" s="586" t="s">
        <v>120</v>
      </c>
      <c r="N15" s="587"/>
      <c r="O15" s="576" t="s">
        <v>121</v>
      </c>
      <c r="P15" s="588"/>
      <c r="Q15" s="586" t="s">
        <v>120</v>
      </c>
      <c r="R15" s="587"/>
      <c r="S15" s="576" t="s">
        <v>121</v>
      </c>
      <c r="T15" s="577"/>
      <c r="U15" s="85"/>
      <c r="V15" s="85"/>
      <c r="W15" s="85"/>
      <c r="X15" s="85"/>
      <c r="Y15" s="85"/>
      <c r="Z15" s="35" t="s">
        <v>122</v>
      </c>
      <c r="AA15" s="42"/>
      <c r="AB15" s="42"/>
      <c r="AC15" s="41" t="s">
        <v>123</v>
      </c>
      <c r="AD15" s="42"/>
      <c r="AE15" s="42"/>
      <c r="AF15" s="70"/>
      <c r="AG15" s="70"/>
      <c r="AH15" s="21" t="s">
        <v>124</v>
      </c>
      <c r="AI15" s="35" t="s">
        <v>125</v>
      </c>
      <c r="AJ15" s="70"/>
      <c r="AK15" s="41" t="s">
        <v>126</v>
      </c>
      <c r="AL15" s="59"/>
      <c r="AM15" s="59"/>
    </row>
    <row r="16" spans="5:41" s="59" customFormat="1" ht="18.75" customHeight="1">
      <c r="E16" s="86" t="s">
        <v>127</v>
      </c>
      <c r="F16" s="578" t="s">
        <v>128</v>
      </c>
      <c r="G16" s="579"/>
      <c r="H16" s="87"/>
      <c r="I16" s="88"/>
      <c r="J16" s="530"/>
      <c r="K16" s="90"/>
      <c r="L16" s="530"/>
      <c r="M16" s="88"/>
      <c r="N16" s="89"/>
      <c r="O16" s="90"/>
      <c r="P16" s="89"/>
      <c r="Q16" s="88"/>
      <c r="R16" s="89"/>
      <c r="S16" s="90"/>
      <c r="T16" s="91"/>
      <c r="U16" s="92"/>
      <c r="V16" s="92"/>
      <c r="W16" s="92"/>
      <c r="X16" s="92"/>
      <c r="Y16" s="92"/>
      <c r="Z16" s="35" t="s">
        <v>129</v>
      </c>
      <c r="AA16" s="42"/>
      <c r="AB16" s="70"/>
      <c r="AC16" s="41" t="s">
        <v>130</v>
      </c>
      <c r="AD16" s="42"/>
      <c r="AE16" s="42"/>
      <c r="AF16" s="43"/>
      <c r="AG16" s="93"/>
      <c r="AH16" s="21" t="s">
        <v>131</v>
      </c>
      <c r="AI16" s="35" t="s">
        <v>132</v>
      </c>
      <c r="AJ16" s="70"/>
      <c r="AK16" s="41" t="s">
        <v>133</v>
      </c>
    </row>
    <row r="17" spans="5:39" s="59" customFormat="1" ht="18.75" customHeight="1">
      <c r="E17" s="94"/>
      <c r="F17" s="95"/>
      <c r="G17" s="96"/>
      <c r="H17" s="87"/>
      <c r="I17" s="97" t="s">
        <v>134</v>
      </c>
      <c r="J17" s="531"/>
      <c r="K17" s="98" t="s">
        <v>135</v>
      </c>
      <c r="L17" s="531"/>
      <c r="M17" s="97" t="s">
        <v>134</v>
      </c>
      <c r="N17" s="98"/>
      <c r="O17" s="98" t="s">
        <v>135</v>
      </c>
      <c r="P17" s="98"/>
      <c r="Q17" s="97" t="s">
        <v>134</v>
      </c>
      <c r="R17" s="98"/>
      <c r="S17" s="98" t="s">
        <v>135</v>
      </c>
      <c r="T17" s="99"/>
      <c r="U17" s="100"/>
      <c r="V17" s="100"/>
      <c r="W17" s="100"/>
      <c r="X17" s="100"/>
      <c r="Y17" s="100"/>
      <c r="Z17" s="31" t="s">
        <v>136</v>
      </c>
      <c r="AA17" s="42"/>
      <c r="AB17" s="70"/>
      <c r="AC17" s="41" t="s">
        <v>137</v>
      </c>
      <c r="AD17" s="70"/>
      <c r="AE17" s="70"/>
      <c r="AF17" s="43"/>
      <c r="AG17" s="70"/>
      <c r="AH17" s="21" t="s">
        <v>138</v>
      </c>
      <c r="AI17" s="35" t="s">
        <v>139</v>
      </c>
      <c r="AJ17" s="70"/>
      <c r="AK17" s="41" t="s">
        <v>140</v>
      </c>
      <c r="AL17" s="101"/>
    </row>
    <row r="18" spans="5:39" s="59" customFormat="1" ht="18.75" customHeight="1">
      <c r="E18" s="94"/>
      <c r="F18" s="95"/>
      <c r="G18" s="96"/>
      <c r="H18" s="87"/>
      <c r="I18" s="102" t="s">
        <v>134</v>
      </c>
      <c r="J18" s="532"/>
      <c r="K18" s="104" t="s">
        <v>135</v>
      </c>
      <c r="L18" s="532"/>
      <c r="M18" s="102" t="s">
        <v>134</v>
      </c>
      <c r="N18" s="103"/>
      <c r="O18" s="104" t="s">
        <v>135</v>
      </c>
      <c r="P18" s="103"/>
      <c r="Q18" s="102" t="s">
        <v>134</v>
      </c>
      <c r="R18" s="103"/>
      <c r="S18" s="104" t="s">
        <v>135</v>
      </c>
      <c r="T18" s="105"/>
      <c r="U18" s="106"/>
      <c r="V18" s="106"/>
      <c r="W18" s="106"/>
      <c r="X18" s="106"/>
      <c r="Y18" s="106"/>
      <c r="Z18" s="41" t="s">
        <v>141</v>
      </c>
      <c r="AA18" s="32"/>
      <c r="AB18" s="70"/>
      <c r="AC18" s="107"/>
      <c r="AD18" s="70"/>
      <c r="AE18" s="70"/>
      <c r="AF18" s="70"/>
      <c r="AG18" s="70"/>
      <c r="AH18" s="21" t="s">
        <v>142</v>
      </c>
      <c r="AI18" s="35" t="s">
        <v>143</v>
      </c>
      <c r="AJ18" s="70"/>
      <c r="AK18" s="41" t="s">
        <v>144</v>
      </c>
      <c r="AL18" s="108"/>
    </row>
    <row r="19" spans="5:39" s="59" customFormat="1" ht="18.75" customHeight="1">
      <c r="E19" s="94"/>
      <c r="F19" s="95"/>
      <c r="G19" s="96"/>
      <c r="H19" s="87"/>
      <c r="I19" s="104" t="s">
        <v>145</v>
      </c>
      <c r="J19" s="532"/>
      <c r="K19" s="104" t="s">
        <v>146</v>
      </c>
      <c r="L19" s="532"/>
      <c r="M19" s="104" t="s">
        <v>145</v>
      </c>
      <c r="N19" s="103"/>
      <c r="O19" s="104" t="s">
        <v>146</v>
      </c>
      <c r="P19" s="103"/>
      <c r="Q19" s="104" t="s">
        <v>145</v>
      </c>
      <c r="R19" s="103"/>
      <c r="S19" s="104" t="s">
        <v>146</v>
      </c>
      <c r="T19" s="105"/>
      <c r="U19" s="106"/>
      <c r="V19" s="106"/>
      <c r="W19" s="106"/>
      <c r="X19" s="106"/>
      <c r="Y19" s="106"/>
      <c r="Z19" s="41" t="s">
        <v>147</v>
      </c>
      <c r="AA19" s="32"/>
      <c r="AB19" s="70"/>
      <c r="AC19" s="109"/>
      <c r="AD19" s="70"/>
      <c r="AE19" s="70"/>
      <c r="AF19" s="70"/>
      <c r="AG19" s="70"/>
      <c r="AH19" s="21" t="s">
        <v>148</v>
      </c>
      <c r="AI19" s="35" t="s">
        <v>149</v>
      </c>
      <c r="AJ19" s="70"/>
      <c r="AK19" s="41" t="s">
        <v>150</v>
      </c>
      <c r="AL19" s="108"/>
    </row>
    <row r="20" spans="5:39" s="59" customFormat="1" ht="18.75" customHeight="1">
      <c r="E20" s="94"/>
      <c r="F20" s="95"/>
      <c r="G20" s="96"/>
      <c r="H20" s="87"/>
      <c r="I20" s="97" t="s">
        <v>151</v>
      </c>
      <c r="J20" s="533"/>
      <c r="K20" s="98" t="s">
        <v>152</v>
      </c>
      <c r="L20" s="533"/>
      <c r="M20" s="97" t="s">
        <v>151</v>
      </c>
      <c r="N20" s="110"/>
      <c r="O20" s="98" t="s">
        <v>152</v>
      </c>
      <c r="P20" s="110"/>
      <c r="Q20" s="97" t="s">
        <v>151</v>
      </c>
      <c r="R20" s="110"/>
      <c r="S20" s="98" t="s">
        <v>152</v>
      </c>
      <c r="T20" s="105"/>
      <c r="U20" s="106"/>
      <c r="V20" s="106"/>
      <c r="W20" s="106"/>
      <c r="X20" s="106"/>
      <c r="Y20" s="106"/>
      <c r="Z20" s="41" t="s">
        <v>153</v>
      </c>
      <c r="AA20" s="32"/>
      <c r="AB20" s="70"/>
      <c r="AC20" s="109"/>
      <c r="AD20" s="70"/>
      <c r="AE20" s="70"/>
      <c r="AF20" s="70"/>
      <c r="AG20" s="42"/>
      <c r="AH20" s="21" t="s">
        <v>154</v>
      </c>
      <c r="AI20" s="35" t="s">
        <v>155</v>
      </c>
      <c r="AJ20" s="70"/>
      <c r="AK20" s="41" t="s">
        <v>156</v>
      </c>
      <c r="AL20"/>
    </row>
    <row r="21" spans="5:39" s="59" customFormat="1" ht="18.75" customHeight="1">
      <c r="E21" s="94"/>
      <c r="F21" s="95"/>
      <c r="G21" s="96"/>
      <c r="H21" s="87"/>
      <c r="I21" s="102" t="s">
        <v>157</v>
      </c>
      <c r="J21" s="532"/>
      <c r="K21" s="104" t="s">
        <v>158</v>
      </c>
      <c r="L21" s="538"/>
      <c r="M21" s="102" t="s">
        <v>157</v>
      </c>
      <c r="N21" s="103"/>
      <c r="O21" s="104" t="s">
        <v>158</v>
      </c>
      <c r="P21" s="111"/>
      <c r="Q21" s="102" t="s">
        <v>157</v>
      </c>
      <c r="R21" s="103"/>
      <c r="S21" s="104" t="s">
        <v>158</v>
      </c>
      <c r="T21" s="112"/>
      <c r="U21" s="113"/>
      <c r="V21" s="113"/>
      <c r="W21" s="113"/>
      <c r="X21" s="113"/>
      <c r="Y21" s="113"/>
      <c r="Z21" s="31" t="s">
        <v>159</v>
      </c>
      <c r="AA21" s="32"/>
      <c r="AB21" s="70"/>
      <c r="AC21" s="109"/>
      <c r="AD21" s="70"/>
      <c r="AE21" s="70"/>
      <c r="AF21" s="70"/>
      <c r="AG21" s="43"/>
      <c r="AH21" s="21" t="s">
        <v>160</v>
      </c>
      <c r="AI21" s="35" t="s">
        <v>161</v>
      </c>
      <c r="AJ21" s="70"/>
      <c r="AK21" s="35" t="s">
        <v>162</v>
      </c>
      <c r="AL21"/>
    </row>
    <row r="22" spans="5:39" s="59" customFormat="1" ht="18.75" customHeight="1">
      <c r="E22" s="94"/>
      <c r="F22" s="95"/>
      <c r="G22" s="96"/>
      <c r="H22" s="87"/>
      <c r="I22" s="114" t="s">
        <v>163</v>
      </c>
      <c r="J22" s="534"/>
      <c r="K22" s="116" t="s">
        <v>164</v>
      </c>
      <c r="L22" s="539"/>
      <c r="M22" s="114" t="s">
        <v>163</v>
      </c>
      <c r="N22" s="115"/>
      <c r="O22" s="116" t="s">
        <v>164</v>
      </c>
      <c r="P22" s="117"/>
      <c r="Q22" s="114" t="s">
        <v>163</v>
      </c>
      <c r="R22" s="115"/>
      <c r="S22" s="116" t="s">
        <v>164</v>
      </c>
      <c r="T22" s="118"/>
      <c r="U22" s="119"/>
      <c r="V22" s="119"/>
      <c r="W22" s="119"/>
      <c r="X22" s="119"/>
      <c r="Y22" s="119"/>
      <c r="Z22" s="41" t="s">
        <v>165</v>
      </c>
      <c r="AA22" s="32"/>
      <c r="AB22" s="120"/>
      <c r="AC22" s="109"/>
      <c r="AD22" s="70"/>
      <c r="AE22" s="70"/>
      <c r="AF22" s="70"/>
      <c r="AG22" s="43"/>
      <c r="AH22" s="21" t="s">
        <v>166</v>
      </c>
      <c r="AI22" s="107"/>
      <c r="AJ22" s="121"/>
      <c r="AK22" s="35" t="s">
        <v>167</v>
      </c>
      <c r="AL22"/>
    </row>
    <row r="23" spans="5:39" s="59" customFormat="1" ht="18.75" customHeight="1">
      <c r="E23" s="94"/>
      <c r="F23" s="95"/>
      <c r="G23" s="96"/>
      <c r="H23" s="87"/>
      <c r="I23" s="122" t="s">
        <v>168</v>
      </c>
      <c r="J23" s="535"/>
      <c r="K23" s="124" t="s">
        <v>169</v>
      </c>
      <c r="L23" s="540"/>
      <c r="M23" s="122" t="s">
        <v>168</v>
      </c>
      <c r="N23" s="123"/>
      <c r="O23" s="124" t="s">
        <v>169</v>
      </c>
      <c r="P23" s="125"/>
      <c r="Q23" s="122" t="s">
        <v>168</v>
      </c>
      <c r="R23" s="123"/>
      <c r="S23" s="124" t="s">
        <v>169</v>
      </c>
      <c r="T23" s="126"/>
      <c r="U23" s="127"/>
      <c r="V23" s="127"/>
      <c r="W23" s="127"/>
      <c r="X23" s="127"/>
      <c r="Y23" s="127"/>
      <c r="Z23" s="41" t="s">
        <v>170</v>
      </c>
      <c r="AA23" s="32"/>
      <c r="AB23" s="70"/>
      <c r="AC23" s="120"/>
      <c r="AD23" s="120"/>
      <c r="AE23" s="120"/>
      <c r="AF23" s="70"/>
      <c r="AG23" s="43"/>
      <c r="AH23" s="21" t="s">
        <v>171</v>
      </c>
      <c r="AI23" s="128"/>
      <c r="AJ23" s="129"/>
      <c r="AK23" s="130" t="s">
        <v>172</v>
      </c>
      <c r="AL23"/>
      <c r="AM23" s="101"/>
    </row>
    <row r="24" spans="5:39" s="59" customFormat="1" ht="18.75" customHeight="1">
      <c r="E24" s="94"/>
      <c r="F24" s="131"/>
      <c r="G24" s="132"/>
      <c r="H24" s="133"/>
      <c r="I24" s="134" t="s">
        <v>173</v>
      </c>
      <c r="J24" s="536"/>
      <c r="K24" s="136"/>
      <c r="L24" s="541"/>
      <c r="M24" s="134" t="s">
        <v>173</v>
      </c>
      <c r="N24" s="135"/>
      <c r="O24" s="136"/>
      <c r="P24" s="137"/>
      <c r="Q24" s="134" t="s">
        <v>173</v>
      </c>
      <c r="R24" s="135"/>
      <c r="S24" s="136"/>
      <c r="T24" s="138"/>
      <c r="U24" s="127"/>
      <c r="V24" s="127"/>
      <c r="W24" s="127"/>
      <c r="X24" s="127"/>
      <c r="Y24" s="127"/>
      <c r="Z24" s="41" t="s">
        <v>174</v>
      </c>
      <c r="AA24" s="32"/>
      <c r="AB24" s="139"/>
      <c r="AC24" s="70"/>
      <c r="AD24" s="70"/>
      <c r="AE24" s="70"/>
      <c r="AF24" s="70"/>
      <c r="AG24" s="50"/>
      <c r="AH24" s="21" t="s">
        <v>175</v>
      </c>
      <c r="AI24" s="109"/>
      <c r="AJ24" s="70"/>
      <c r="AK24" s="140"/>
      <c r="AL24"/>
      <c r="AM24" s="108"/>
    </row>
    <row r="25" spans="5:39" s="59" customFormat="1" ht="18.75" customHeight="1">
      <c r="E25" s="94"/>
      <c r="F25" s="95"/>
      <c r="G25" s="96"/>
      <c r="H25" s="87"/>
      <c r="I25" s="141" t="s">
        <v>176</v>
      </c>
      <c r="J25" s="537"/>
      <c r="K25" s="143"/>
      <c r="L25" s="542"/>
      <c r="M25" s="141" t="s">
        <v>176</v>
      </c>
      <c r="N25" s="142"/>
      <c r="O25" s="143"/>
      <c r="P25" s="144"/>
      <c r="Q25" s="141" t="s">
        <v>176</v>
      </c>
      <c r="R25" s="142"/>
      <c r="S25" s="143"/>
      <c r="T25" s="145"/>
      <c r="U25" s="127"/>
      <c r="V25" s="127"/>
      <c r="W25" s="127"/>
      <c r="X25" s="127"/>
      <c r="Y25" s="127"/>
      <c r="Z25" s="41" t="s">
        <v>177</v>
      </c>
      <c r="AA25" s="32"/>
      <c r="AB25" s="139"/>
      <c r="AC25" s="146"/>
      <c r="AD25" s="147"/>
      <c r="AE25" s="147"/>
      <c r="AF25" s="129"/>
      <c r="AG25" s="50"/>
      <c r="AH25" s="148" t="s">
        <v>178</v>
      </c>
      <c r="AI25" s="109"/>
      <c r="AJ25" s="70"/>
      <c r="AK25" s="109"/>
      <c r="AL25"/>
      <c r="AM25" s="108"/>
    </row>
    <row r="26" spans="5:39" s="59" customFormat="1" ht="18.75" customHeight="1">
      <c r="E26" s="94"/>
      <c r="F26" s="95"/>
      <c r="G26" s="96"/>
      <c r="H26" s="149"/>
      <c r="I26" s="150" t="s">
        <v>179</v>
      </c>
      <c r="J26" s="580"/>
      <c r="K26" s="581"/>
      <c r="L26" s="582"/>
      <c r="M26" s="150" t="s">
        <v>179</v>
      </c>
      <c r="N26" s="580"/>
      <c r="O26" s="581"/>
      <c r="P26" s="582"/>
      <c r="Q26" s="150" t="s">
        <v>179</v>
      </c>
      <c r="R26" s="580"/>
      <c r="S26" s="581"/>
      <c r="T26" s="583"/>
      <c r="U26" s="151"/>
      <c r="V26" s="151"/>
      <c r="W26" s="151"/>
      <c r="X26" s="151"/>
      <c r="Y26" s="151"/>
      <c r="Z26" s="41" t="s">
        <v>180</v>
      </c>
      <c r="AA26" s="32"/>
      <c r="AB26" s="70"/>
      <c r="AC26" s="146"/>
      <c r="AD26" s="147"/>
      <c r="AE26" s="147"/>
      <c r="AF26" s="152"/>
      <c r="AG26" s="70"/>
      <c r="AH26" s="21" t="s">
        <v>181</v>
      </c>
      <c r="AI26" s="109"/>
      <c r="AJ26" s="70"/>
      <c r="AK26" s="121"/>
      <c r="AL26"/>
      <c r="AM26"/>
    </row>
    <row r="27" spans="5:39" s="59" customFormat="1" ht="18.75" customHeight="1">
      <c r="E27" s="94"/>
      <c r="F27" s="584" t="s">
        <v>182</v>
      </c>
      <c r="G27" s="585"/>
      <c r="H27" s="153" t="s">
        <v>183</v>
      </c>
      <c r="I27" s="154">
        <f>IF(ISERROR(IF(J23="",(J22*J21+L22*L21)/(J21+L21)*J25,(J22*J25-(J25-J24)*J23))),0,IF(J23="",(J22*J21+L22*L21)/(J21+L21)*J25,(J22*J25-(J25-J24)*J23)))</f>
        <v>0</v>
      </c>
      <c r="J27" s="155"/>
      <c r="K27" s="155"/>
      <c r="L27" s="156"/>
      <c r="M27" s="154">
        <f>IF(ISERROR(IF(N23="",(N22*N21+P22*P21)/(N21+P21)*N25,(N22*N25-(N25-N24)*N23))),0,IF(N23="",(N22*N21+P22*P21)/(N21+P21)*N25,(N22*N25-(N25-N24)*N23)))</f>
        <v>0</v>
      </c>
      <c r="N27" s="155"/>
      <c r="O27" s="155"/>
      <c r="P27" s="156"/>
      <c r="Q27" s="154">
        <f>IF(ISERROR(IF(R23="",(R22*R21+T22*T21)/(R21+T21)*R25,(R22*R25-(R25-R24)*R23))),0,IF(R23="",(R22*R21+T22*T21)/(R21+T21)*R25,(R22*R25-(R25-R24)*R23)))</f>
        <v>0</v>
      </c>
      <c r="R27" s="155"/>
      <c r="S27" s="155"/>
      <c r="T27" s="157"/>
      <c r="U27" s="119"/>
      <c r="V27" s="119"/>
      <c r="W27" s="119"/>
      <c r="X27" s="119"/>
      <c r="Y27" s="119"/>
      <c r="Z27" s="41" t="s">
        <v>184</v>
      </c>
      <c r="AA27" s="42"/>
      <c r="AB27" s="139"/>
      <c r="AC27" s="70"/>
      <c r="AD27" s="70"/>
      <c r="AE27" s="70"/>
      <c r="AF27" s="152"/>
      <c r="AG27" s="70"/>
      <c r="AH27" s="21" t="s">
        <v>185</v>
      </c>
      <c r="AI27" s="57"/>
      <c r="AJ27" s="70"/>
      <c r="AK27" s="121"/>
      <c r="AL27"/>
      <c r="AM27"/>
    </row>
    <row r="28" spans="5:39" s="101" customFormat="1" ht="21" customHeight="1">
      <c r="E28" s="94"/>
      <c r="F28" s="565" t="s">
        <v>186</v>
      </c>
      <c r="G28" s="566"/>
      <c r="H28" s="567"/>
      <c r="I28" s="158" t="s">
        <v>480</v>
      </c>
      <c r="J28" s="159" t="s">
        <v>482</v>
      </c>
      <c r="K28" s="160">
        <v>0</v>
      </c>
      <c r="L28" s="161">
        <v>0</v>
      </c>
      <c r="M28" s="158" t="s">
        <v>187</v>
      </c>
      <c r="N28" s="159" t="s">
        <v>188</v>
      </c>
      <c r="O28" s="160" t="s">
        <v>163</v>
      </c>
      <c r="P28" s="161" t="s">
        <v>189</v>
      </c>
      <c r="Q28" s="158" t="s">
        <v>187</v>
      </c>
      <c r="R28" s="159" t="s">
        <v>188</v>
      </c>
      <c r="S28" s="160" t="s">
        <v>163</v>
      </c>
      <c r="T28" s="162" t="s">
        <v>189</v>
      </c>
      <c r="U28" s="163"/>
      <c r="V28" s="163"/>
      <c r="W28" s="163"/>
      <c r="X28" s="163"/>
      <c r="Y28" s="163"/>
      <c r="Z28" s="41" t="s">
        <v>190</v>
      </c>
      <c r="AA28" s="32"/>
      <c r="AB28" s="139"/>
      <c r="AC28" s="146"/>
      <c r="AD28" s="147"/>
      <c r="AE28" s="147"/>
      <c r="AF28" s="152"/>
      <c r="AG28" s="70"/>
      <c r="AH28" s="164"/>
      <c r="AI28" s="70"/>
      <c r="AJ28" s="70"/>
      <c r="AK28" s="121"/>
      <c r="AL28"/>
      <c r="AM28"/>
    </row>
    <row r="29" spans="5:39" s="108" customFormat="1" ht="20.25" customHeight="1">
      <c r="E29" s="94"/>
      <c r="F29" s="95"/>
      <c r="G29" s="568" t="s">
        <v>191</v>
      </c>
      <c r="H29" s="165">
        <v>1</v>
      </c>
      <c r="I29" s="509"/>
      <c r="J29" s="521"/>
      <c r="K29" s="522"/>
      <c r="L29" s="523"/>
      <c r="M29" s="166" t="s">
        <v>192</v>
      </c>
      <c r="N29" s="167">
        <v>1</v>
      </c>
      <c r="O29" s="168">
        <v>342.75</v>
      </c>
      <c r="P29" s="169">
        <f t="shared" ref="P29:P36" si="0">IF(O29="","",ROUND(N29*O29,2))</f>
        <v>342.75</v>
      </c>
      <c r="Q29" s="166"/>
      <c r="R29" s="167"/>
      <c r="S29" s="168"/>
      <c r="T29" s="170" t="str">
        <f t="shared" ref="T29:T36" si="1">IF(S29="","",ROUND(R29*S29,2))</f>
        <v/>
      </c>
      <c r="U29" s="171"/>
      <c r="V29" s="171"/>
      <c r="W29" s="171"/>
      <c r="X29" s="171"/>
      <c r="Y29" s="171"/>
      <c r="Z29" s="41" t="s">
        <v>193</v>
      </c>
      <c r="AA29" s="42"/>
      <c r="AB29" s="70"/>
      <c r="AC29" s="146"/>
      <c r="AD29" s="147"/>
      <c r="AE29" s="147"/>
      <c r="AF29" s="152"/>
      <c r="AG29" s="70"/>
      <c r="AH29" s="172"/>
      <c r="AI29" s="70"/>
      <c r="AJ29" s="70"/>
      <c r="AK29" s="121"/>
      <c r="AL29"/>
      <c r="AM29"/>
    </row>
    <row r="30" spans="5:39" s="108" customFormat="1" ht="20.25" customHeight="1">
      <c r="E30" s="173"/>
      <c r="F30" s="174"/>
      <c r="G30" s="569"/>
      <c r="H30" s="175">
        <v>2</v>
      </c>
      <c r="I30" s="513"/>
      <c r="J30" s="514"/>
      <c r="K30" s="524"/>
      <c r="L30" s="516" t="str">
        <f t="shared" ref="L30:L36" si="2">IF(K30="","",ROUND(J30*K30,2))</f>
        <v/>
      </c>
      <c r="M30" s="176"/>
      <c r="N30" s="177"/>
      <c r="O30" s="178"/>
      <c r="P30" s="179" t="str">
        <f t="shared" si="0"/>
        <v/>
      </c>
      <c r="Q30" s="176"/>
      <c r="R30" s="177"/>
      <c r="S30" s="178"/>
      <c r="T30" s="180" t="str">
        <f t="shared" si="1"/>
        <v/>
      </c>
      <c r="U30" s="171"/>
      <c r="V30" s="171"/>
      <c r="W30" s="171"/>
      <c r="X30" s="171"/>
      <c r="Y30" s="171"/>
      <c r="Z30" s="31" t="s">
        <v>194</v>
      </c>
      <c r="AA30" s="42"/>
      <c r="AB30" s="139"/>
      <c r="AC30" s="70"/>
      <c r="AD30" s="70"/>
      <c r="AE30" s="70"/>
      <c r="AF30" s="57"/>
      <c r="AG30" s="70"/>
      <c r="AH30" s="181"/>
      <c r="AI30" s="70"/>
      <c r="AJ30" s="70"/>
      <c r="AK30" s="121"/>
      <c r="AL30"/>
      <c r="AM30"/>
    </row>
    <row r="31" spans="5:39" ht="20.25" customHeight="1">
      <c r="E31" s="94"/>
      <c r="F31" s="174"/>
      <c r="G31" s="569"/>
      <c r="H31" s="175">
        <v>3</v>
      </c>
      <c r="I31" s="513"/>
      <c r="J31" s="514"/>
      <c r="K31" s="524"/>
      <c r="L31" s="516" t="str">
        <f t="shared" si="2"/>
        <v/>
      </c>
      <c r="M31" s="176"/>
      <c r="N31" s="177"/>
      <c r="O31" s="178"/>
      <c r="P31" s="179" t="str">
        <f t="shared" si="0"/>
        <v/>
      </c>
      <c r="Q31" s="176"/>
      <c r="R31" s="177"/>
      <c r="S31" s="178"/>
      <c r="T31" s="180" t="str">
        <f t="shared" si="1"/>
        <v/>
      </c>
      <c r="U31" s="171"/>
      <c r="V31" s="171"/>
      <c r="W31" s="171"/>
      <c r="X31" s="171"/>
      <c r="Y31" s="171"/>
      <c r="Z31" s="31" t="s">
        <v>195</v>
      </c>
      <c r="AA31" s="32"/>
      <c r="AB31" s="139"/>
      <c r="AC31" s="146"/>
      <c r="AD31" s="147"/>
      <c r="AE31" s="147"/>
      <c r="AF31" s="57"/>
      <c r="AG31" s="70"/>
      <c r="AH31" s="181"/>
      <c r="AI31" s="70"/>
      <c r="AJ31" s="70"/>
      <c r="AK31" s="121"/>
    </row>
    <row r="32" spans="5:39" ht="20.25" customHeight="1">
      <c r="E32" s="94"/>
      <c r="F32" s="174"/>
      <c r="G32" s="569"/>
      <c r="H32" s="175">
        <v>4</v>
      </c>
      <c r="I32" s="513"/>
      <c r="J32" s="514"/>
      <c r="K32" s="524"/>
      <c r="L32" s="516" t="str">
        <f t="shared" si="2"/>
        <v/>
      </c>
      <c r="M32" s="176"/>
      <c r="N32" s="177"/>
      <c r="O32" s="178"/>
      <c r="P32" s="179" t="str">
        <f t="shared" si="0"/>
        <v/>
      </c>
      <c r="Q32" s="176"/>
      <c r="R32" s="177"/>
      <c r="S32" s="178"/>
      <c r="T32" s="180" t="str">
        <f t="shared" si="1"/>
        <v/>
      </c>
      <c r="U32" s="171"/>
      <c r="V32" s="171"/>
      <c r="W32" s="171"/>
      <c r="X32" s="171"/>
      <c r="Y32" s="171"/>
      <c r="Z32" s="31" t="s">
        <v>196</v>
      </c>
      <c r="AA32" s="42"/>
      <c r="AB32" s="70"/>
      <c r="AC32" s="146"/>
      <c r="AD32" s="147"/>
      <c r="AE32" s="147"/>
      <c r="AF32" s="57"/>
      <c r="AG32" s="70"/>
      <c r="AH32" s="181"/>
      <c r="AI32" s="70"/>
      <c r="AJ32" s="70"/>
      <c r="AK32" s="121"/>
    </row>
    <row r="33" spans="5:37" ht="20.25" customHeight="1">
      <c r="E33" s="94"/>
      <c r="F33" s="174"/>
      <c r="G33" s="569"/>
      <c r="H33" s="175">
        <v>5</v>
      </c>
      <c r="I33" s="513"/>
      <c r="J33" s="514"/>
      <c r="K33" s="524"/>
      <c r="L33" s="516" t="str">
        <f t="shared" si="2"/>
        <v/>
      </c>
      <c r="M33" s="176"/>
      <c r="N33" s="177"/>
      <c r="O33" s="178"/>
      <c r="P33" s="179" t="str">
        <f t="shared" si="0"/>
        <v/>
      </c>
      <c r="Q33" s="176"/>
      <c r="R33" s="177"/>
      <c r="S33" s="178"/>
      <c r="T33" s="180" t="str">
        <f t="shared" si="1"/>
        <v/>
      </c>
      <c r="U33" s="171"/>
      <c r="V33" s="171"/>
      <c r="W33" s="171"/>
      <c r="X33" s="171"/>
      <c r="Y33" s="171"/>
      <c r="Z33" s="31" t="s">
        <v>197</v>
      </c>
      <c r="AA33" s="42"/>
      <c r="AB33" s="139"/>
      <c r="AC33" s="70"/>
      <c r="AD33" s="70"/>
      <c r="AE33" s="70"/>
      <c r="AF33" s="57"/>
      <c r="AG33" s="129"/>
      <c r="AH33" s="57"/>
      <c r="AI33" s="70"/>
      <c r="AJ33" s="70"/>
      <c r="AK33" s="121"/>
    </row>
    <row r="34" spans="5:37" ht="20.25" customHeight="1">
      <c r="E34" s="94"/>
      <c r="F34" s="174"/>
      <c r="G34" s="569"/>
      <c r="H34" s="175">
        <v>6</v>
      </c>
      <c r="I34" s="525"/>
      <c r="J34" s="526"/>
      <c r="K34" s="527"/>
      <c r="L34" s="528" t="str">
        <f t="shared" si="2"/>
        <v/>
      </c>
      <c r="M34" s="182"/>
      <c r="N34" s="183"/>
      <c r="O34" s="184"/>
      <c r="P34" s="185" t="str">
        <f t="shared" si="0"/>
        <v/>
      </c>
      <c r="Q34" s="182"/>
      <c r="R34" s="183"/>
      <c r="S34" s="184"/>
      <c r="T34" s="186" t="str">
        <f t="shared" si="1"/>
        <v/>
      </c>
      <c r="U34" s="171"/>
      <c r="V34" s="171"/>
      <c r="W34" s="171"/>
      <c r="X34" s="171"/>
      <c r="Y34" s="171"/>
      <c r="Z34" s="31" t="s">
        <v>198</v>
      </c>
      <c r="AA34" s="42"/>
      <c r="AB34" s="139"/>
      <c r="AC34" s="146"/>
      <c r="AD34" s="147"/>
      <c r="AE34" s="147"/>
      <c r="AF34" s="57"/>
      <c r="AG34" s="152"/>
      <c r="AH34" s="70"/>
      <c r="AI34" s="70"/>
      <c r="AJ34" s="70"/>
      <c r="AK34" s="121"/>
    </row>
    <row r="35" spans="5:37" ht="20.25" customHeight="1">
      <c r="E35" s="94"/>
      <c r="F35" s="174"/>
      <c r="G35" s="569"/>
      <c r="H35" s="175">
        <v>7</v>
      </c>
      <c r="I35" s="525"/>
      <c r="J35" s="526"/>
      <c r="K35" s="527"/>
      <c r="L35" s="528" t="str">
        <f t="shared" si="2"/>
        <v/>
      </c>
      <c r="M35" s="182"/>
      <c r="N35" s="183"/>
      <c r="O35" s="184"/>
      <c r="P35" s="185" t="str">
        <f t="shared" si="0"/>
        <v/>
      </c>
      <c r="Q35" s="182"/>
      <c r="R35" s="183"/>
      <c r="S35" s="184"/>
      <c r="T35" s="186" t="str">
        <f t="shared" si="1"/>
        <v/>
      </c>
      <c r="U35" s="171"/>
      <c r="V35" s="171"/>
      <c r="W35" s="171"/>
      <c r="X35" s="171"/>
      <c r="Y35" s="171"/>
      <c r="Z35" s="31" t="s">
        <v>199</v>
      </c>
      <c r="AA35" s="42"/>
      <c r="AB35" s="70"/>
      <c r="AC35" s="146"/>
      <c r="AD35" s="147"/>
      <c r="AE35" s="147"/>
      <c r="AF35" s="57"/>
      <c r="AG35" s="152"/>
      <c r="AH35" s="70"/>
      <c r="AI35" s="70"/>
      <c r="AJ35" s="70"/>
      <c r="AK35" s="121"/>
    </row>
    <row r="36" spans="5:37" ht="20.25" customHeight="1">
      <c r="E36" s="94"/>
      <c r="F36" s="174"/>
      <c r="G36" s="569"/>
      <c r="H36" s="187">
        <v>8</v>
      </c>
      <c r="I36" s="517"/>
      <c r="J36" s="518"/>
      <c r="K36" s="529"/>
      <c r="L36" s="520" t="str">
        <f t="shared" si="2"/>
        <v/>
      </c>
      <c r="M36" s="188"/>
      <c r="N36" s="189"/>
      <c r="O36" s="190"/>
      <c r="P36" s="191" t="str">
        <f t="shared" si="0"/>
        <v/>
      </c>
      <c r="Q36" s="188"/>
      <c r="R36" s="189"/>
      <c r="S36" s="190"/>
      <c r="T36" s="192" t="str">
        <f t="shared" si="1"/>
        <v/>
      </c>
      <c r="U36" s="171"/>
      <c r="V36" s="171"/>
      <c r="W36" s="171"/>
      <c r="X36" s="171"/>
      <c r="Y36" s="171"/>
      <c r="Z36" s="31" t="s">
        <v>200</v>
      </c>
      <c r="AA36" s="42"/>
      <c r="AC36" s="70"/>
      <c r="AD36" s="70"/>
      <c r="AE36" s="70"/>
      <c r="AF36" s="70"/>
      <c r="AG36" s="152"/>
      <c r="AH36" s="70"/>
      <c r="AI36" s="70"/>
      <c r="AJ36" s="70"/>
      <c r="AK36" s="121"/>
    </row>
    <row r="37" spans="5:37" ht="19.5" customHeight="1">
      <c r="E37" s="94"/>
      <c r="F37" s="193"/>
      <c r="G37" s="194" t="s">
        <v>201</v>
      </c>
      <c r="H37" s="153" t="str">
        <f>IF($H$27="","",$H$27)</f>
        <v>USD/pcs</v>
      </c>
      <c r="I37" s="195">
        <f>SUM(L29:L36)</f>
        <v>0</v>
      </c>
      <c r="J37" s="196"/>
      <c r="K37" s="197"/>
      <c r="L37" s="198"/>
      <c r="M37" s="195">
        <f>SUM(P29:P36)</f>
        <v>342.75</v>
      </c>
      <c r="N37" s="196"/>
      <c r="O37" s="197"/>
      <c r="P37" s="198"/>
      <c r="Q37" s="195">
        <f>SUM(T29:T36)</f>
        <v>0</v>
      </c>
      <c r="R37" s="196"/>
      <c r="S37" s="197"/>
      <c r="T37" s="199"/>
      <c r="U37" s="200"/>
      <c r="V37" s="200"/>
      <c r="W37" s="200"/>
      <c r="X37" s="200"/>
      <c r="Y37" s="200"/>
      <c r="Z37" s="31" t="s">
        <v>202</v>
      </c>
      <c r="AF37" s="70"/>
      <c r="AG37" s="152"/>
      <c r="AH37" s="70"/>
      <c r="AI37" s="70"/>
    </row>
    <row r="38" spans="5:37" ht="19.5" customHeight="1">
      <c r="E38" s="94"/>
      <c r="F38" s="201"/>
      <c r="G38" s="568" t="s">
        <v>203</v>
      </c>
      <c r="H38" s="165">
        <v>1</v>
      </c>
      <c r="I38" s="509"/>
      <c r="J38" s="510"/>
      <c r="K38" s="511"/>
      <c r="L38" s="512"/>
      <c r="M38" s="166" t="s">
        <v>204</v>
      </c>
      <c r="N38" s="202">
        <v>2</v>
      </c>
      <c r="O38" s="203">
        <v>71.25</v>
      </c>
      <c r="P38" s="204">
        <f t="shared" ref="P38:P45" si="3">IF(O38="","",ROUND(N38*O38,2))</f>
        <v>142.5</v>
      </c>
      <c r="Q38" s="166"/>
      <c r="R38" s="202"/>
      <c r="S38" s="203"/>
      <c r="T38" s="205" t="str">
        <f t="shared" ref="T38:T45" si="4">IF(S38="","",ROUND(R38*S38,2))</f>
        <v/>
      </c>
      <c r="U38" s="171"/>
      <c r="V38" s="171"/>
      <c r="W38" s="171"/>
      <c r="X38" s="171"/>
      <c r="Y38" s="171"/>
      <c r="Z38" s="31" t="s">
        <v>205</v>
      </c>
      <c r="AF38" s="70"/>
      <c r="AG38" s="57"/>
      <c r="AH38" s="70"/>
    </row>
    <row r="39" spans="5:37" ht="19.5" customHeight="1">
      <c r="E39" s="94"/>
      <c r="F39" s="193"/>
      <c r="G39" s="569"/>
      <c r="H39" s="175">
        <v>2</v>
      </c>
      <c r="I39" s="513"/>
      <c r="J39" s="514"/>
      <c r="K39" s="515"/>
      <c r="L39" s="516"/>
      <c r="M39" s="176" t="s">
        <v>206</v>
      </c>
      <c r="N39" s="177">
        <v>1</v>
      </c>
      <c r="O39" s="206">
        <v>125</v>
      </c>
      <c r="P39" s="179">
        <f t="shared" si="3"/>
        <v>125</v>
      </c>
      <c r="Q39" s="176"/>
      <c r="R39" s="177"/>
      <c r="S39" s="206"/>
      <c r="T39" s="180" t="str">
        <f t="shared" si="4"/>
        <v/>
      </c>
      <c r="U39" s="171"/>
      <c r="V39" s="171"/>
      <c r="W39" s="171"/>
      <c r="X39" s="171"/>
      <c r="Y39" s="171"/>
      <c r="Z39" s="41" t="s">
        <v>207</v>
      </c>
      <c r="AG39" s="57"/>
      <c r="AH39" s="70"/>
    </row>
    <row r="40" spans="5:37" ht="19.5" customHeight="1">
      <c r="E40" s="94"/>
      <c r="F40" s="193"/>
      <c r="G40" s="569"/>
      <c r="H40" s="175">
        <v>3</v>
      </c>
      <c r="I40" s="513"/>
      <c r="J40" s="514"/>
      <c r="K40" s="515"/>
      <c r="L40" s="516" t="str">
        <f t="shared" ref="L40:L45" si="5">IF(K40="","",ROUND(J40*K40,2))</f>
        <v/>
      </c>
      <c r="M40" s="176"/>
      <c r="N40" s="177"/>
      <c r="O40" s="206"/>
      <c r="P40" s="179" t="str">
        <f t="shared" si="3"/>
        <v/>
      </c>
      <c r="Q40" s="176"/>
      <c r="R40" s="177"/>
      <c r="S40" s="206"/>
      <c r="T40" s="180" t="str">
        <f t="shared" si="4"/>
        <v/>
      </c>
      <c r="U40" s="171"/>
      <c r="V40" s="171"/>
      <c r="W40" s="171"/>
      <c r="X40" s="171"/>
      <c r="Y40" s="171"/>
      <c r="Z40" s="31" t="s">
        <v>208</v>
      </c>
      <c r="AG40" s="57"/>
      <c r="AH40" s="70"/>
    </row>
    <row r="41" spans="5:37" ht="19.5" customHeight="1">
      <c r="E41" s="94"/>
      <c r="F41" s="193"/>
      <c r="G41" s="569"/>
      <c r="H41" s="175">
        <v>4</v>
      </c>
      <c r="I41" s="513"/>
      <c r="J41" s="514"/>
      <c r="K41" s="515"/>
      <c r="L41" s="516" t="str">
        <f t="shared" si="5"/>
        <v/>
      </c>
      <c r="M41" s="176"/>
      <c r="N41" s="177"/>
      <c r="O41" s="206"/>
      <c r="P41" s="179" t="str">
        <f t="shared" si="3"/>
        <v/>
      </c>
      <c r="Q41" s="176"/>
      <c r="R41" s="177"/>
      <c r="S41" s="206"/>
      <c r="T41" s="180" t="str">
        <f t="shared" si="4"/>
        <v/>
      </c>
      <c r="U41" s="171"/>
      <c r="V41" s="171"/>
      <c r="W41" s="171"/>
      <c r="X41" s="171"/>
      <c r="Y41" s="171"/>
      <c r="Z41" s="41" t="s">
        <v>209</v>
      </c>
      <c r="AG41" s="57"/>
      <c r="AH41" s="70"/>
    </row>
    <row r="42" spans="5:37" ht="19.5" customHeight="1">
      <c r="E42" s="94"/>
      <c r="F42" s="193"/>
      <c r="G42" s="569"/>
      <c r="H42" s="175">
        <v>5</v>
      </c>
      <c r="I42" s="513"/>
      <c r="J42" s="514"/>
      <c r="K42" s="515"/>
      <c r="L42" s="516" t="str">
        <f t="shared" si="5"/>
        <v/>
      </c>
      <c r="M42" s="176"/>
      <c r="N42" s="177"/>
      <c r="O42" s="206"/>
      <c r="P42" s="179" t="str">
        <f t="shared" si="3"/>
        <v/>
      </c>
      <c r="Q42" s="176"/>
      <c r="R42" s="177"/>
      <c r="S42" s="206"/>
      <c r="T42" s="180" t="str">
        <f t="shared" si="4"/>
        <v/>
      </c>
      <c r="U42" s="171"/>
      <c r="V42" s="171"/>
      <c r="W42" s="171"/>
      <c r="X42" s="171"/>
      <c r="Y42" s="171"/>
      <c r="Z42" s="41" t="s">
        <v>210</v>
      </c>
      <c r="AG42" s="57"/>
      <c r="AH42" s="70"/>
    </row>
    <row r="43" spans="5:37" ht="19.5" customHeight="1">
      <c r="E43" s="94"/>
      <c r="F43" s="193"/>
      <c r="G43" s="569"/>
      <c r="H43" s="175">
        <v>6</v>
      </c>
      <c r="I43" s="513"/>
      <c r="J43" s="514"/>
      <c r="K43" s="515"/>
      <c r="L43" s="516" t="str">
        <f t="shared" si="5"/>
        <v/>
      </c>
      <c r="M43" s="176"/>
      <c r="N43" s="177"/>
      <c r="O43" s="206"/>
      <c r="P43" s="179" t="str">
        <f t="shared" si="3"/>
        <v/>
      </c>
      <c r="Q43" s="176"/>
      <c r="R43" s="177"/>
      <c r="S43" s="206"/>
      <c r="T43" s="180" t="str">
        <f t="shared" si="4"/>
        <v/>
      </c>
      <c r="U43" s="171"/>
      <c r="V43" s="171"/>
      <c r="W43" s="171"/>
      <c r="X43" s="171"/>
      <c r="Y43" s="171"/>
      <c r="Z43" s="31" t="s">
        <v>211</v>
      </c>
      <c r="AG43" s="57"/>
      <c r="AH43" s="70"/>
    </row>
    <row r="44" spans="5:37" ht="19.5" customHeight="1">
      <c r="E44" s="94"/>
      <c r="F44" s="193"/>
      <c r="G44" s="569"/>
      <c r="H44" s="175">
        <v>7</v>
      </c>
      <c r="I44" s="513"/>
      <c r="J44" s="514"/>
      <c r="K44" s="515"/>
      <c r="L44" s="516" t="str">
        <f t="shared" si="5"/>
        <v/>
      </c>
      <c r="M44" s="176"/>
      <c r="N44" s="177"/>
      <c r="O44" s="206"/>
      <c r="P44" s="179" t="str">
        <f t="shared" si="3"/>
        <v/>
      </c>
      <c r="Q44" s="176"/>
      <c r="R44" s="177"/>
      <c r="S44" s="206"/>
      <c r="T44" s="180" t="str">
        <f t="shared" si="4"/>
        <v/>
      </c>
      <c r="U44" s="171"/>
      <c r="V44" s="171"/>
      <c r="W44" s="171"/>
      <c r="X44" s="171"/>
      <c r="Y44" s="171"/>
      <c r="Z44" s="207" t="s">
        <v>212</v>
      </c>
      <c r="AG44" s="70"/>
    </row>
    <row r="45" spans="5:37" ht="19.5" customHeight="1">
      <c r="E45" s="94"/>
      <c r="F45" s="193"/>
      <c r="G45" s="569"/>
      <c r="H45" s="187">
        <v>8</v>
      </c>
      <c r="I45" s="517"/>
      <c r="J45" s="518"/>
      <c r="K45" s="519"/>
      <c r="L45" s="520" t="str">
        <f t="shared" si="5"/>
        <v/>
      </c>
      <c r="M45" s="188"/>
      <c r="N45" s="189"/>
      <c r="O45" s="208"/>
      <c r="P45" s="191" t="str">
        <f t="shared" si="3"/>
        <v/>
      </c>
      <c r="Q45" s="188"/>
      <c r="R45" s="189"/>
      <c r="S45" s="208"/>
      <c r="T45" s="192" t="str">
        <f t="shared" si="4"/>
        <v/>
      </c>
      <c r="U45" s="171"/>
      <c r="V45" s="171"/>
      <c r="W45" s="171"/>
      <c r="X45" s="171"/>
      <c r="Y45" s="171"/>
      <c r="Z45" s="31" t="s">
        <v>213</v>
      </c>
      <c r="AG45" s="57"/>
      <c r="AH45" s="70"/>
    </row>
    <row r="46" spans="5:37" ht="19.5" customHeight="1">
      <c r="E46" s="94"/>
      <c r="F46" s="209"/>
      <c r="G46" s="210" t="s">
        <v>214</v>
      </c>
      <c r="H46" s="153" t="str">
        <f>IF($H$27="","",$H$27)</f>
        <v>USD/pcs</v>
      </c>
      <c r="I46" s="211">
        <f>SUM(L38:L45)</f>
        <v>0</v>
      </c>
      <c r="J46" s="212"/>
      <c r="K46" s="197"/>
      <c r="L46" s="198"/>
      <c r="M46" s="211">
        <f>SUM(P38:P45)</f>
        <v>267.5</v>
      </c>
      <c r="N46" s="212"/>
      <c r="O46" s="197"/>
      <c r="P46" s="198"/>
      <c r="Q46" s="211">
        <f>SUM(T38:T45)</f>
        <v>0</v>
      </c>
      <c r="R46" s="212"/>
      <c r="S46" s="197"/>
      <c r="T46" s="199"/>
      <c r="U46" s="200"/>
      <c r="V46" s="200"/>
      <c r="W46" s="200"/>
      <c r="X46" s="200"/>
      <c r="Y46" s="200"/>
      <c r="Z46" s="41" t="s">
        <v>215</v>
      </c>
      <c r="AG46" s="57"/>
      <c r="AH46" s="70"/>
    </row>
    <row r="47" spans="5:37" ht="20.25" customHeight="1">
      <c r="E47" s="94"/>
      <c r="F47" s="213" t="s">
        <v>216</v>
      </c>
      <c r="G47" s="214"/>
      <c r="H47" s="153" t="str">
        <f>IF($H$27="","",$H$27)</f>
        <v>USD/pcs</v>
      </c>
      <c r="I47" s="215"/>
      <c r="J47" s="216"/>
      <c r="K47" s="217"/>
      <c r="L47" s="218"/>
      <c r="M47" s="215"/>
      <c r="N47" s="216"/>
      <c r="O47" s="217"/>
      <c r="P47" s="218"/>
      <c r="Q47" s="215"/>
      <c r="R47" s="216"/>
      <c r="S47" s="217"/>
      <c r="T47" s="219"/>
      <c r="U47" s="220"/>
      <c r="V47" s="220"/>
      <c r="W47" s="220"/>
      <c r="X47" s="220"/>
      <c r="Y47" s="220"/>
      <c r="Z47" s="41" t="s">
        <v>217</v>
      </c>
      <c r="AG47" s="57"/>
      <c r="AH47" s="70"/>
    </row>
    <row r="48" spans="5:37" ht="20.25" customHeight="1">
      <c r="E48" s="94"/>
      <c r="F48" s="209"/>
      <c r="G48" s="214"/>
      <c r="H48" s="153" t="str">
        <f>IF($H$27="","",$H$27)</f>
        <v>USD/pcs</v>
      </c>
      <c r="I48" s="221">
        <v>0</v>
      </c>
      <c r="J48" s="216"/>
      <c r="K48" s="217"/>
      <c r="L48" s="218"/>
      <c r="M48" s="221"/>
      <c r="N48" s="216"/>
      <c r="O48" s="217"/>
      <c r="P48" s="218"/>
      <c r="Q48" s="221"/>
      <c r="R48" s="216"/>
      <c r="S48" s="217"/>
      <c r="T48" s="219"/>
      <c r="U48" s="220"/>
      <c r="V48" s="220"/>
      <c r="W48" s="220"/>
      <c r="X48" s="220"/>
      <c r="Y48" s="220"/>
      <c r="Z48" s="31" t="s">
        <v>218</v>
      </c>
      <c r="AG48" s="57"/>
      <c r="AH48" s="70"/>
    </row>
    <row r="49" spans="5:33" ht="24" customHeight="1">
      <c r="E49" s="570" t="s">
        <v>219</v>
      </c>
      <c r="F49" s="571"/>
      <c r="G49" s="571"/>
      <c r="H49" s="222" t="str">
        <f>IF($H$27="","",$H$27)</f>
        <v>USD/pcs</v>
      </c>
      <c r="I49" s="223">
        <f>SUM(I46:I48,I37,I27)</f>
        <v>0</v>
      </c>
      <c r="J49" s="224"/>
      <c r="K49" s="225"/>
      <c r="L49" s="226"/>
      <c r="M49" s="223">
        <f>SUM(M46:M48,M37,M27)</f>
        <v>610.25</v>
      </c>
      <c r="N49" s="224"/>
      <c r="O49" s="225"/>
      <c r="P49" s="226"/>
      <c r="Q49" s="223">
        <f>SUM(Q46:Q48,Q37,Q27)</f>
        <v>0</v>
      </c>
      <c r="R49" s="224"/>
      <c r="S49" s="225"/>
      <c r="T49" s="227"/>
      <c r="U49" s="228"/>
      <c r="V49" s="228"/>
      <c r="W49" s="228"/>
      <c r="X49" s="228"/>
      <c r="Y49" s="228"/>
      <c r="Z49" s="207" t="s">
        <v>220</v>
      </c>
    </row>
    <row r="50" spans="5:33" ht="18.75" customHeight="1">
      <c r="E50" s="229" t="s">
        <v>221</v>
      </c>
      <c r="F50" s="230"/>
      <c r="G50" s="230"/>
      <c r="H50" s="231"/>
      <c r="I50" s="232" t="s">
        <v>222</v>
      </c>
      <c r="J50" s="233"/>
      <c r="K50" s="232" t="s">
        <v>223</v>
      </c>
      <c r="L50" s="234"/>
      <c r="M50" s="232" t="s">
        <v>222</v>
      </c>
      <c r="N50" s="233"/>
      <c r="O50" s="232" t="s">
        <v>223</v>
      </c>
      <c r="P50" s="234"/>
      <c r="Q50" s="232" t="s">
        <v>222</v>
      </c>
      <c r="R50" s="233"/>
      <c r="S50" s="232" t="s">
        <v>223</v>
      </c>
      <c r="T50" s="235"/>
      <c r="U50" s="236"/>
      <c r="V50" s="236"/>
      <c r="W50" s="236"/>
      <c r="X50" s="236"/>
      <c r="Y50" s="236"/>
      <c r="Z50" s="207" t="s">
        <v>224</v>
      </c>
    </row>
    <row r="51" spans="5:33" ht="33.75" customHeight="1">
      <c r="E51" s="237" t="s">
        <v>225</v>
      </c>
      <c r="F51" s="238"/>
      <c r="G51" s="238"/>
      <c r="H51" s="239"/>
      <c r="I51" s="240" t="s">
        <v>226</v>
      </c>
      <c r="J51" s="241" t="s">
        <v>227</v>
      </c>
      <c r="K51" s="242" t="s">
        <v>228</v>
      </c>
      <c r="L51" s="243" t="s">
        <v>189</v>
      </c>
      <c r="M51" s="240" t="s">
        <v>226</v>
      </c>
      <c r="N51" s="241" t="s">
        <v>227</v>
      </c>
      <c r="O51" s="242" t="s">
        <v>228</v>
      </c>
      <c r="P51" s="243" t="s">
        <v>189</v>
      </c>
      <c r="Q51" s="240" t="s">
        <v>226</v>
      </c>
      <c r="R51" s="241" t="s">
        <v>227</v>
      </c>
      <c r="S51" s="242" t="s">
        <v>228</v>
      </c>
      <c r="T51" s="244" t="s">
        <v>189</v>
      </c>
      <c r="U51" s="245"/>
      <c r="V51" s="245"/>
      <c r="W51" s="245"/>
      <c r="X51" s="245"/>
      <c r="Y51" s="245"/>
      <c r="Z51" s="207" t="s">
        <v>229</v>
      </c>
    </row>
    <row r="52" spans="5:33" ht="19.5" customHeight="1">
      <c r="E52" s="246"/>
      <c r="F52" s="572" t="s">
        <v>221</v>
      </c>
      <c r="G52" s="573"/>
      <c r="H52" s="247">
        <v>1</v>
      </c>
      <c r="I52" s="485"/>
      <c r="J52" s="486"/>
      <c r="K52" s="487"/>
      <c r="L52" s="488"/>
      <c r="M52" s="248" t="s">
        <v>230</v>
      </c>
      <c r="N52" s="249">
        <v>300</v>
      </c>
      <c r="O52" s="250">
        <v>15</v>
      </c>
      <c r="P52" s="251">
        <f>IF(N52="","",ROUND(O52/N52*1000,2))</f>
        <v>50</v>
      </c>
      <c r="Q52" s="248"/>
      <c r="R52" s="249"/>
      <c r="S52" s="250"/>
      <c r="T52" s="252" t="str">
        <f>IF(R52="","",ROUND(S52/R52*1000,2))</f>
        <v/>
      </c>
      <c r="U52" s="253"/>
      <c r="V52" s="253"/>
      <c r="W52" s="253"/>
      <c r="X52" s="253"/>
      <c r="Y52" s="253"/>
      <c r="Z52" s="207" t="s">
        <v>231</v>
      </c>
    </row>
    <row r="53" spans="5:33" ht="20.25" customHeight="1">
      <c r="E53" s="246"/>
      <c r="F53" s="254"/>
      <c r="G53" s="255"/>
      <c r="H53" s="256">
        <v>2</v>
      </c>
      <c r="I53" s="489"/>
      <c r="J53" s="490"/>
      <c r="K53" s="491"/>
      <c r="L53" s="492"/>
      <c r="M53" s="257" t="s">
        <v>232</v>
      </c>
      <c r="N53" s="258">
        <v>100</v>
      </c>
      <c r="O53" s="259">
        <v>15</v>
      </c>
      <c r="P53" s="260">
        <f t="shared" ref="P53:P59" si="6">IF(N53="","",ROUND(O53/N53*1000,2))</f>
        <v>150</v>
      </c>
      <c r="Q53" s="257"/>
      <c r="R53" s="258"/>
      <c r="S53" s="259"/>
      <c r="T53" s="261" t="str">
        <f t="shared" ref="T53:T59" si="7">IF(R53="","",ROUND(S53/R53*1000,2))</f>
        <v/>
      </c>
      <c r="U53" s="262"/>
      <c r="V53" s="262"/>
      <c r="W53" s="262"/>
      <c r="X53" s="262"/>
      <c r="Y53" s="262"/>
      <c r="Z53" s="207" t="s">
        <v>233</v>
      </c>
    </row>
    <row r="54" spans="5:33" ht="20.25" customHeight="1">
      <c r="E54" s="246"/>
      <c r="F54" s="254"/>
      <c r="G54" s="255"/>
      <c r="H54" s="256">
        <v>3</v>
      </c>
      <c r="I54" s="489"/>
      <c r="J54" s="490"/>
      <c r="K54" s="491"/>
      <c r="L54" s="492"/>
      <c r="M54" s="257" t="s">
        <v>234</v>
      </c>
      <c r="N54" s="258">
        <v>400</v>
      </c>
      <c r="O54" s="259">
        <v>12</v>
      </c>
      <c r="P54" s="260">
        <f t="shared" si="6"/>
        <v>30</v>
      </c>
      <c r="Q54" s="257"/>
      <c r="R54" s="258"/>
      <c r="S54" s="259"/>
      <c r="T54" s="261" t="str">
        <f t="shared" si="7"/>
        <v/>
      </c>
      <c r="U54" s="262"/>
      <c r="V54" s="262"/>
      <c r="W54" s="262"/>
      <c r="X54" s="262"/>
      <c r="Y54" s="262"/>
      <c r="Z54" s="207" t="s">
        <v>235</v>
      </c>
      <c r="AG54" s="70"/>
    </row>
    <row r="55" spans="5:33" ht="20.25" customHeight="1">
      <c r="E55" s="246"/>
      <c r="F55" s="254"/>
      <c r="G55" s="255"/>
      <c r="H55" s="256">
        <v>4</v>
      </c>
      <c r="I55" s="489"/>
      <c r="J55" s="490"/>
      <c r="K55" s="491"/>
      <c r="L55" s="492" t="str">
        <f t="shared" ref="L55:L59" si="8">IF(J55="","",ROUND(K55/J55*1000,2))</f>
        <v/>
      </c>
      <c r="M55" s="257"/>
      <c r="N55" s="263"/>
      <c r="O55" s="259"/>
      <c r="P55" s="260" t="str">
        <f t="shared" si="6"/>
        <v/>
      </c>
      <c r="Q55" s="257"/>
      <c r="R55" s="263"/>
      <c r="S55" s="259"/>
      <c r="T55" s="261" t="str">
        <f t="shared" si="7"/>
        <v/>
      </c>
      <c r="U55" s="262"/>
      <c r="V55" s="262"/>
      <c r="W55" s="262"/>
      <c r="X55" s="262"/>
      <c r="Y55" s="262"/>
      <c r="Z55" s="207" t="s">
        <v>236</v>
      </c>
      <c r="AG55" s="70"/>
    </row>
    <row r="56" spans="5:33" ht="20.25" customHeight="1">
      <c r="E56" s="246"/>
      <c r="F56" s="254"/>
      <c r="G56" s="255"/>
      <c r="H56" s="256">
        <v>5</v>
      </c>
      <c r="I56" s="489"/>
      <c r="J56" s="490"/>
      <c r="K56" s="491"/>
      <c r="L56" s="492" t="str">
        <f t="shared" si="8"/>
        <v/>
      </c>
      <c r="M56" s="257"/>
      <c r="N56" s="263"/>
      <c r="O56" s="259"/>
      <c r="P56" s="260" t="str">
        <f t="shared" si="6"/>
        <v/>
      </c>
      <c r="Q56" s="257"/>
      <c r="R56" s="263"/>
      <c r="S56" s="259"/>
      <c r="T56" s="261" t="str">
        <f t="shared" si="7"/>
        <v/>
      </c>
      <c r="U56" s="262"/>
      <c r="V56" s="262"/>
      <c r="W56" s="262"/>
      <c r="X56" s="262"/>
      <c r="Y56" s="262"/>
      <c r="Z56" s="207" t="s">
        <v>236</v>
      </c>
      <c r="AG56" s="70"/>
    </row>
    <row r="57" spans="5:33" ht="20.25" customHeight="1">
      <c r="E57" s="246"/>
      <c r="F57" s="254"/>
      <c r="G57" s="255"/>
      <c r="H57" s="256">
        <v>6</v>
      </c>
      <c r="I57" s="489"/>
      <c r="J57" s="490"/>
      <c r="K57" s="491"/>
      <c r="L57" s="492" t="str">
        <f t="shared" si="8"/>
        <v/>
      </c>
      <c r="M57" s="257"/>
      <c r="N57" s="263"/>
      <c r="O57" s="259"/>
      <c r="P57" s="260" t="str">
        <f t="shared" si="6"/>
        <v/>
      </c>
      <c r="Q57" s="257"/>
      <c r="R57" s="263"/>
      <c r="S57" s="259"/>
      <c r="T57" s="261" t="str">
        <f t="shared" si="7"/>
        <v/>
      </c>
      <c r="U57" s="262"/>
      <c r="V57" s="262"/>
      <c r="W57" s="262"/>
      <c r="X57" s="262"/>
      <c r="Y57" s="262"/>
      <c r="Z57" s="207" t="s">
        <v>237</v>
      </c>
    </row>
    <row r="58" spans="5:33" ht="20.25" customHeight="1">
      <c r="E58" s="246"/>
      <c r="F58" s="254"/>
      <c r="G58" s="255"/>
      <c r="H58" s="264">
        <v>7</v>
      </c>
      <c r="I58" s="493"/>
      <c r="J58" s="494"/>
      <c r="K58" s="495"/>
      <c r="L58" s="496" t="str">
        <f t="shared" si="8"/>
        <v/>
      </c>
      <c r="M58" s="265"/>
      <c r="N58" s="266"/>
      <c r="O58" s="267"/>
      <c r="P58" s="268" t="str">
        <f t="shared" si="6"/>
        <v/>
      </c>
      <c r="Q58" s="265"/>
      <c r="R58" s="266"/>
      <c r="S58" s="267"/>
      <c r="T58" s="269" t="str">
        <f t="shared" si="7"/>
        <v/>
      </c>
      <c r="U58" s="262"/>
      <c r="V58" s="262"/>
      <c r="W58" s="262"/>
      <c r="X58" s="262"/>
      <c r="Y58" s="262"/>
      <c r="Z58" s="207" t="s">
        <v>238</v>
      </c>
    </row>
    <row r="59" spans="5:33" ht="20.25" customHeight="1">
      <c r="E59" s="246"/>
      <c r="F59" s="270"/>
      <c r="G59" s="271"/>
      <c r="H59" s="272">
        <v>8</v>
      </c>
      <c r="I59" s="497">
        <v>0</v>
      </c>
      <c r="J59" s="498"/>
      <c r="K59" s="499"/>
      <c r="L59" s="500" t="str">
        <f t="shared" si="8"/>
        <v/>
      </c>
      <c r="M59" s="273"/>
      <c r="N59" s="274"/>
      <c r="O59" s="275"/>
      <c r="P59" s="276" t="str">
        <f t="shared" si="6"/>
        <v/>
      </c>
      <c r="Q59" s="273"/>
      <c r="R59" s="274"/>
      <c r="S59" s="275"/>
      <c r="T59" s="277" t="str">
        <f t="shared" si="7"/>
        <v/>
      </c>
      <c r="U59" s="262"/>
      <c r="V59" s="262"/>
      <c r="W59" s="262"/>
      <c r="X59" s="262"/>
      <c r="Y59" s="262"/>
      <c r="Z59" s="207" t="s">
        <v>239</v>
      </c>
    </row>
    <row r="60" spans="5:33" ht="23.25" customHeight="1">
      <c r="E60" s="574" t="s">
        <v>240</v>
      </c>
      <c r="F60" s="575"/>
      <c r="G60" s="575"/>
      <c r="H60" s="278" t="str">
        <f>IF($H$27="","",$H$27)</f>
        <v>USD/pcs</v>
      </c>
      <c r="I60" s="279">
        <f>SUM(L52:L59)</f>
        <v>0</v>
      </c>
      <c r="J60" s="280"/>
      <c r="K60" s="281"/>
      <c r="L60" s="282"/>
      <c r="M60" s="279">
        <f>SUM(P52:P59)</f>
        <v>230</v>
      </c>
      <c r="N60" s="280"/>
      <c r="O60" s="281"/>
      <c r="P60" s="282"/>
      <c r="Q60" s="279">
        <f>SUM(T52:T59)</f>
        <v>0</v>
      </c>
      <c r="R60" s="280"/>
      <c r="S60" s="281"/>
      <c r="T60" s="283"/>
      <c r="U60" s="281"/>
      <c r="V60" s="281"/>
      <c r="W60" s="281"/>
      <c r="X60" s="281"/>
      <c r="Y60" s="281"/>
      <c r="Z60" s="207" t="s">
        <v>241</v>
      </c>
    </row>
    <row r="61" spans="5:33" ht="18.75" customHeight="1">
      <c r="E61" s="284" t="s">
        <v>242</v>
      </c>
      <c r="F61" s="600" t="s">
        <v>243</v>
      </c>
      <c r="G61" s="601"/>
      <c r="H61" s="602"/>
      <c r="I61" s="285" t="s">
        <v>128</v>
      </c>
      <c r="J61" s="286" t="s">
        <v>244</v>
      </c>
      <c r="K61" s="287" t="s">
        <v>221</v>
      </c>
      <c r="L61" s="288" t="s">
        <v>453</v>
      </c>
      <c r="M61" s="285" t="s">
        <v>128</v>
      </c>
      <c r="N61" s="286" t="s">
        <v>244</v>
      </c>
      <c r="O61" s="287" t="s">
        <v>221</v>
      </c>
      <c r="P61" s="288" t="s">
        <v>216</v>
      </c>
      <c r="Q61" s="285" t="s">
        <v>128</v>
      </c>
      <c r="R61" s="286" t="s">
        <v>244</v>
      </c>
      <c r="S61" s="287" t="s">
        <v>221</v>
      </c>
      <c r="T61" s="289" t="s">
        <v>216</v>
      </c>
      <c r="U61" s="290"/>
      <c r="V61" s="290"/>
      <c r="W61" s="290"/>
      <c r="X61" s="290"/>
      <c r="Y61" s="290"/>
      <c r="Z61" s="207" t="s">
        <v>245</v>
      </c>
    </row>
    <row r="62" spans="5:33" ht="18.75" customHeight="1">
      <c r="E62" s="291" t="s">
        <v>225</v>
      </c>
      <c r="F62" s="600" t="s">
        <v>246</v>
      </c>
      <c r="G62" s="601"/>
      <c r="H62" s="602"/>
      <c r="I62" s="501"/>
      <c r="J62" s="502"/>
      <c r="K62" s="503"/>
      <c r="L62" s="507"/>
      <c r="M62" s="292"/>
      <c r="N62" s="293">
        <v>0.05</v>
      </c>
      <c r="O62" s="294">
        <v>0.15</v>
      </c>
      <c r="P62" s="295"/>
      <c r="Q62" s="292"/>
      <c r="R62" s="293"/>
      <c r="S62" s="294"/>
      <c r="T62" s="296"/>
      <c r="U62" s="297"/>
      <c r="V62" s="297"/>
      <c r="W62" s="297"/>
      <c r="X62" s="297"/>
      <c r="Y62" s="297"/>
      <c r="Z62" s="207" t="s">
        <v>247</v>
      </c>
    </row>
    <row r="63" spans="5:33" ht="18.75" customHeight="1">
      <c r="E63" s="298"/>
      <c r="F63" s="600" t="s">
        <v>189</v>
      </c>
      <c r="G63" s="601"/>
      <c r="H63" s="602"/>
      <c r="I63" s="504">
        <v>0</v>
      </c>
      <c r="J63" s="505"/>
      <c r="K63" s="506"/>
      <c r="L63" s="508"/>
      <c r="M63" s="299">
        <f>IF(SUM(M49,M47:M48)=0,0,ROUND(SUM(M47:M48)*M62,2))</f>
        <v>0</v>
      </c>
      <c r="N63" s="300">
        <f>ROUND(M46*N62,2)</f>
        <v>13.38</v>
      </c>
      <c r="O63" s="301">
        <f>ROUND(M60*O62,2)</f>
        <v>34.5</v>
      </c>
      <c r="P63" s="302"/>
      <c r="Q63" s="299">
        <f>IF(SUM(Q49,Q47:Q48)=0,0,ROUND(SUM(#REF!,Q47:Q48)*Q62,2))</f>
        <v>0</v>
      </c>
      <c r="R63" s="300">
        <f>ROUND(Q46*R62,2)</f>
        <v>0</v>
      </c>
      <c r="S63" s="301">
        <f>ROUND(Q60*S62,2)</f>
        <v>0</v>
      </c>
      <c r="T63" s="303"/>
      <c r="U63" s="304"/>
      <c r="V63" s="304"/>
      <c r="W63" s="304"/>
      <c r="X63" s="304"/>
      <c r="Y63" s="304"/>
      <c r="Z63" s="207" t="s">
        <v>248</v>
      </c>
    </row>
    <row r="64" spans="5:33" ht="22.5" customHeight="1">
      <c r="E64" s="305"/>
      <c r="F64" s="603" t="s">
        <v>249</v>
      </c>
      <c r="G64" s="604"/>
      <c r="H64" s="306" t="str">
        <f>IF($H$27="","",$H$27)</f>
        <v>USD/pcs</v>
      </c>
      <c r="I64" s="307">
        <f>SUM(I63:L63)</f>
        <v>0</v>
      </c>
      <c r="J64" s="308"/>
      <c r="K64" s="309"/>
      <c r="L64" s="310"/>
      <c r="M64" s="307">
        <f>SUM(M63:P63)</f>
        <v>47.88</v>
      </c>
      <c r="N64" s="308"/>
      <c r="O64" s="309"/>
      <c r="P64" s="310"/>
      <c r="Q64" s="307">
        <f>SUM(Q63:T63)</f>
        <v>0</v>
      </c>
      <c r="R64" s="308"/>
      <c r="S64" s="309"/>
      <c r="T64" s="311"/>
      <c r="U64" s="312"/>
      <c r="V64" s="312"/>
      <c r="W64" s="312"/>
      <c r="X64" s="312"/>
      <c r="Y64" s="312"/>
      <c r="Z64" s="207" t="s">
        <v>250</v>
      </c>
    </row>
    <row r="65" spans="5:38" ht="18.75" customHeight="1">
      <c r="E65" s="313" t="s">
        <v>251</v>
      </c>
      <c r="F65" s="605" t="s">
        <v>252</v>
      </c>
      <c r="G65" s="606"/>
      <c r="H65" s="607"/>
      <c r="I65" s="314" t="s">
        <v>34</v>
      </c>
      <c r="J65" s="315">
        <v>24</v>
      </c>
      <c r="K65" s="316" t="str">
        <f>IF(OR(I65="",I65="Non-amort"),"","months")</f>
        <v>months</v>
      </c>
      <c r="L65" s="317"/>
      <c r="M65" s="314" t="s">
        <v>21</v>
      </c>
      <c r="N65" s="315"/>
      <c r="O65" s="316" t="str">
        <f>IF(OR(M65="",M65="Non-amort"),"","months")</f>
        <v/>
      </c>
      <c r="P65" s="317"/>
      <c r="Q65" s="314" t="s">
        <v>34</v>
      </c>
      <c r="R65" s="315"/>
      <c r="S65" s="316" t="str">
        <f>IF(OR(Q65="",Q65="Non-amort"),"","months")</f>
        <v>months</v>
      </c>
      <c r="T65" s="318"/>
      <c r="U65" s="319"/>
      <c r="V65" s="319"/>
      <c r="W65" s="319"/>
      <c r="X65" s="319"/>
      <c r="Y65" s="319"/>
      <c r="Z65" s="207" t="s">
        <v>253</v>
      </c>
    </row>
    <row r="66" spans="5:38" ht="18.75" customHeight="1">
      <c r="E66" s="320" t="s">
        <v>254</v>
      </c>
      <c r="F66" s="321">
        <v>1</v>
      </c>
      <c r="G66" s="608" t="s">
        <v>255</v>
      </c>
      <c r="H66" s="609"/>
      <c r="I66" s="322" t="s">
        <v>187</v>
      </c>
      <c r="J66" s="589"/>
      <c r="K66" s="590"/>
      <c r="L66" s="591"/>
      <c r="M66" s="322" t="s">
        <v>187</v>
      </c>
      <c r="N66" s="592" t="s">
        <v>80</v>
      </c>
      <c r="O66" s="593"/>
      <c r="P66" s="594"/>
      <c r="Q66" s="322" t="s">
        <v>187</v>
      </c>
      <c r="R66" s="592"/>
      <c r="S66" s="593"/>
      <c r="T66" s="595"/>
      <c r="U66" s="323"/>
      <c r="V66" s="323"/>
      <c r="W66" s="323"/>
      <c r="X66" s="323"/>
      <c r="Y66" s="323"/>
      <c r="Z66" s="207" t="s">
        <v>256</v>
      </c>
    </row>
    <row r="67" spans="5:38" ht="18.75" customHeight="1">
      <c r="E67" s="324"/>
      <c r="F67" s="325"/>
      <c r="G67" s="610"/>
      <c r="H67" s="611"/>
      <c r="I67" s="326" t="s">
        <v>257</v>
      </c>
      <c r="J67" s="327" t="s">
        <v>258</v>
      </c>
      <c r="K67" s="328"/>
      <c r="L67" s="329"/>
      <c r="M67" s="326" t="s">
        <v>257</v>
      </c>
      <c r="N67" s="327" t="s">
        <v>258</v>
      </c>
      <c r="O67" s="328"/>
      <c r="P67" s="329"/>
      <c r="Q67" s="326" t="s">
        <v>257</v>
      </c>
      <c r="R67" s="327"/>
      <c r="S67" s="328"/>
      <c r="T67" s="330"/>
      <c r="U67" s="200"/>
      <c r="V67" s="200"/>
      <c r="W67" s="200"/>
      <c r="X67" s="200"/>
      <c r="Y67" s="200"/>
      <c r="Z67" s="207" t="s">
        <v>259</v>
      </c>
    </row>
    <row r="68" spans="5:38" ht="18.75" customHeight="1">
      <c r="E68" s="324"/>
      <c r="F68" s="325"/>
      <c r="G68" s="610"/>
      <c r="H68" s="611"/>
      <c r="I68" s="331"/>
      <c r="J68" s="596"/>
      <c r="K68" s="597"/>
      <c r="L68" s="598"/>
      <c r="M68" s="331"/>
      <c r="N68" s="596"/>
      <c r="O68" s="597"/>
      <c r="P68" s="598"/>
      <c r="Q68" s="331"/>
      <c r="R68" s="596"/>
      <c r="S68" s="597"/>
      <c r="T68" s="599"/>
      <c r="U68" s="332"/>
      <c r="V68" s="332"/>
      <c r="W68" s="332"/>
      <c r="X68" s="332"/>
      <c r="Y68" s="332"/>
      <c r="Z68" s="207" t="s">
        <v>260</v>
      </c>
    </row>
    <row r="69" spans="5:38" ht="18.75" customHeight="1">
      <c r="E69" s="324"/>
      <c r="F69" s="325"/>
      <c r="G69" s="610"/>
      <c r="H69" s="611"/>
      <c r="I69" s="333" t="s">
        <v>261</v>
      </c>
      <c r="J69" s="481"/>
      <c r="K69" s="335" t="s">
        <v>222</v>
      </c>
      <c r="L69" s="483"/>
      <c r="M69" s="333" t="s">
        <v>261</v>
      </c>
      <c r="N69" s="334" t="s">
        <v>262</v>
      </c>
      <c r="O69" s="335" t="s">
        <v>222</v>
      </c>
      <c r="P69" s="336">
        <v>1</v>
      </c>
      <c r="Q69" s="333" t="s">
        <v>261</v>
      </c>
      <c r="R69" s="334"/>
      <c r="S69" s="335" t="s">
        <v>222</v>
      </c>
      <c r="T69" s="337"/>
      <c r="U69" s="338"/>
      <c r="V69" s="338"/>
      <c r="W69" s="338"/>
      <c r="X69" s="338"/>
      <c r="Y69" s="338"/>
      <c r="Z69" s="207" t="s">
        <v>263</v>
      </c>
    </row>
    <row r="70" spans="5:38" ht="18.75" customHeight="1">
      <c r="E70" s="324"/>
      <c r="F70" s="325"/>
      <c r="G70" s="612"/>
      <c r="H70" s="613"/>
      <c r="I70" s="339" t="s">
        <v>264</v>
      </c>
      <c r="J70" s="482"/>
      <c r="K70" s="341" t="s">
        <v>265</v>
      </c>
      <c r="L70" s="484"/>
      <c r="M70" s="339" t="s">
        <v>264</v>
      </c>
      <c r="N70" s="340">
        <v>10000000</v>
      </c>
      <c r="O70" s="341" t="s">
        <v>265</v>
      </c>
      <c r="P70" s="342" t="s">
        <v>266</v>
      </c>
      <c r="Q70" s="339" t="s">
        <v>264</v>
      </c>
      <c r="R70" s="340"/>
      <c r="S70" s="341" t="s">
        <v>265</v>
      </c>
      <c r="T70" s="343"/>
      <c r="U70" s="262"/>
      <c r="V70" s="262"/>
      <c r="W70" s="262"/>
      <c r="X70" s="262"/>
      <c r="Y70" s="262"/>
      <c r="Z70" s="207" t="s">
        <v>267</v>
      </c>
    </row>
    <row r="71" spans="5:38" ht="20.25" customHeight="1">
      <c r="E71" s="324"/>
      <c r="F71" s="614" t="s">
        <v>189</v>
      </c>
      <c r="G71" s="615"/>
      <c r="H71" s="344" t="s">
        <v>268</v>
      </c>
      <c r="I71" s="616">
        <v>2500</v>
      </c>
      <c r="J71" s="617"/>
      <c r="K71" s="345"/>
      <c r="L71" s="346"/>
      <c r="M71" s="616">
        <v>2500</v>
      </c>
      <c r="N71" s="617"/>
      <c r="O71" s="345"/>
      <c r="P71" s="346"/>
      <c r="Q71" s="618"/>
      <c r="R71" s="619"/>
      <c r="S71" s="345"/>
      <c r="T71" s="347"/>
      <c r="U71" s="348"/>
      <c r="V71" s="348"/>
      <c r="W71" s="348"/>
      <c r="X71" s="348"/>
      <c r="Y71" s="348"/>
      <c r="Z71" s="207" t="s">
        <v>269</v>
      </c>
    </row>
    <row r="72" spans="5:38" ht="18.75" customHeight="1">
      <c r="E72" s="324"/>
      <c r="F72" s="321">
        <v>2</v>
      </c>
      <c r="G72" s="608" t="s">
        <v>255</v>
      </c>
      <c r="H72" s="609"/>
      <c r="I72" s="322" t="s">
        <v>187</v>
      </c>
      <c r="J72" s="592"/>
      <c r="K72" s="593"/>
      <c r="L72" s="594"/>
      <c r="M72" s="322" t="s">
        <v>187</v>
      </c>
      <c r="N72" s="592"/>
      <c r="O72" s="593"/>
      <c r="P72" s="594"/>
      <c r="Q72" s="322" t="s">
        <v>187</v>
      </c>
      <c r="R72" s="592"/>
      <c r="S72" s="593"/>
      <c r="T72" s="595"/>
      <c r="U72" s="323"/>
      <c r="V72" s="323"/>
      <c r="W72" s="323"/>
      <c r="X72" s="323"/>
      <c r="Y72" s="323"/>
      <c r="Z72" s="207" t="s">
        <v>270</v>
      </c>
    </row>
    <row r="73" spans="5:38" ht="18.75" customHeight="1">
      <c r="E73" s="324"/>
      <c r="F73" s="325"/>
      <c r="G73" s="610"/>
      <c r="H73" s="611"/>
      <c r="I73" s="326" t="s">
        <v>257</v>
      </c>
      <c r="J73" s="327"/>
      <c r="K73" s="328"/>
      <c r="L73" s="329"/>
      <c r="M73" s="326" t="s">
        <v>257</v>
      </c>
      <c r="N73" s="327"/>
      <c r="O73" s="328"/>
      <c r="P73" s="329"/>
      <c r="Q73" s="326" t="s">
        <v>257</v>
      </c>
      <c r="R73" s="327"/>
      <c r="S73" s="328"/>
      <c r="T73" s="330"/>
      <c r="U73" s="200"/>
      <c r="V73" s="200"/>
      <c r="W73" s="200"/>
      <c r="X73" s="200"/>
      <c r="Y73" s="200"/>
      <c r="Z73" s="207" t="s">
        <v>271</v>
      </c>
      <c r="AD73" s="32"/>
      <c r="AE73" s="32"/>
    </row>
    <row r="74" spans="5:38" ht="18.75" customHeight="1">
      <c r="E74" s="324"/>
      <c r="F74" s="325"/>
      <c r="G74" s="610"/>
      <c r="H74" s="611"/>
      <c r="I74" s="331"/>
      <c r="J74" s="596"/>
      <c r="K74" s="597"/>
      <c r="L74" s="598"/>
      <c r="M74" s="331"/>
      <c r="N74" s="596"/>
      <c r="O74" s="597"/>
      <c r="P74" s="598"/>
      <c r="Q74" s="331"/>
      <c r="R74" s="596"/>
      <c r="S74" s="597"/>
      <c r="T74" s="599"/>
      <c r="U74" s="332"/>
      <c r="V74" s="332"/>
      <c r="W74" s="332"/>
      <c r="X74" s="332"/>
      <c r="Y74" s="332"/>
      <c r="Z74" s="207" t="s">
        <v>272</v>
      </c>
      <c r="AB74" s="32"/>
      <c r="AD74" s="32"/>
      <c r="AE74" s="32"/>
    </row>
    <row r="75" spans="5:38" ht="18.75" customHeight="1">
      <c r="E75" s="324"/>
      <c r="F75" s="325"/>
      <c r="G75" s="610"/>
      <c r="H75" s="611"/>
      <c r="I75" s="333" t="s">
        <v>261</v>
      </c>
      <c r="J75" s="334"/>
      <c r="K75" s="335" t="s">
        <v>222</v>
      </c>
      <c r="L75" s="336"/>
      <c r="M75" s="333" t="s">
        <v>261</v>
      </c>
      <c r="N75" s="334"/>
      <c r="O75" s="335" t="s">
        <v>222</v>
      </c>
      <c r="P75" s="336"/>
      <c r="Q75" s="333" t="s">
        <v>261</v>
      </c>
      <c r="R75" s="334"/>
      <c r="S75" s="335" t="s">
        <v>222</v>
      </c>
      <c r="T75" s="337"/>
      <c r="U75" s="338"/>
      <c r="V75" s="338"/>
      <c r="W75" s="338"/>
      <c r="X75" s="338"/>
      <c r="Y75" s="338"/>
      <c r="Z75" s="31" t="s">
        <v>273</v>
      </c>
      <c r="AA75" s="32"/>
      <c r="AB75" s="32"/>
      <c r="AD75" s="32"/>
      <c r="AE75" s="32"/>
      <c r="AJ75" s="32"/>
      <c r="AK75" s="32"/>
      <c r="AL75" s="32"/>
    </row>
    <row r="76" spans="5:38" s="32" customFormat="1" ht="18.75" customHeight="1">
      <c r="E76" s="324"/>
      <c r="F76" s="325"/>
      <c r="G76" s="612"/>
      <c r="H76" s="613"/>
      <c r="I76" s="339" t="s">
        <v>264</v>
      </c>
      <c r="J76" s="340"/>
      <c r="K76" s="341" t="s">
        <v>265</v>
      </c>
      <c r="L76" s="342"/>
      <c r="M76" s="339" t="s">
        <v>264</v>
      </c>
      <c r="N76" s="340"/>
      <c r="O76" s="341" t="s">
        <v>265</v>
      </c>
      <c r="P76" s="342"/>
      <c r="Q76" s="339" t="s">
        <v>264</v>
      </c>
      <c r="R76" s="340"/>
      <c r="S76" s="341" t="s">
        <v>265</v>
      </c>
      <c r="T76" s="343"/>
      <c r="U76" s="262"/>
      <c r="V76" s="262"/>
      <c r="W76" s="262"/>
      <c r="X76" s="262"/>
      <c r="Y76" s="262"/>
      <c r="AF76"/>
      <c r="AG76"/>
      <c r="AH76"/>
    </row>
    <row r="77" spans="5:38" s="32" customFormat="1" ht="20.25" customHeight="1">
      <c r="E77" s="324"/>
      <c r="F77" s="614" t="s">
        <v>189</v>
      </c>
      <c r="G77" s="615"/>
      <c r="H77" s="344" t="s">
        <v>268</v>
      </c>
      <c r="I77" s="618"/>
      <c r="J77" s="619"/>
      <c r="K77" s="345"/>
      <c r="L77" s="346"/>
      <c r="M77" s="618"/>
      <c r="N77" s="619"/>
      <c r="O77" s="345"/>
      <c r="P77" s="346"/>
      <c r="Q77" s="618"/>
      <c r="R77" s="619"/>
      <c r="S77" s="345"/>
      <c r="T77" s="347"/>
      <c r="U77" s="348"/>
      <c r="V77" s="348"/>
      <c r="W77" s="348"/>
      <c r="X77" s="348"/>
      <c r="Y77" s="348"/>
      <c r="AF77"/>
      <c r="AG77"/>
      <c r="AH77"/>
    </row>
    <row r="78" spans="5:38" s="32" customFormat="1" ht="20.25" customHeight="1">
      <c r="E78" s="324"/>
      <c r="F78" s="627" t="s">
        <v>201</v>
      </c>
      <c r="G78" s="624"/>
      <c r="H78" s="628"/>
      <c r="I78" s="629">
        <v>0</v>
      </c>
      <c r="J78" s="630"/>
      <c r="K78" s="622">
        <f>IF(I65=AE4,I78,0)</f>
        <v>0</v>
      </c>
      <c r="L78" s="631"/>
      <c r="M78" s="629">
        <f>M71*P69+M77*P75</f>
        <v>2500</v>
      </c>
      <c r="N78" s="630"/>
      <c r="O78" s="622">
        <f>IF(M65=AI4,M78,0)</f>
        <v>0</v>
      </c>
      <c r="P78" s="631"/>
      <c r="Q78" s="620">
        <f>Q71*T69+Q77*T75</f>
        <v>0</v>
      </c>
      <c r="R78" s="621"/>
      <c r="S78" s="622">
        <f>IF(Q65=AM4,Q78,0)</f>
        <v>0</v>
      </c>
      <c r="T78" s="623"/>
      <c r="U78" s="349"/>
      <c r="V78" s="349"/>
      <c r="W78" s="349"/>
      <c r="X78" s="349"/>
      <c r="Y78" s="349"/>
      <c r="AG78"/>
      <c r="AH78"/>
    </row>
    <row r="79" spans="5:38" s="32" customFormat="1" ht="23.25" customHeight="1" thickBot="1">
      <c r="E79" s="324"/>
      <c r="F79" s="624" t="s">
        <v>274</v>
      </c>
      <c r="G79" s="624"/>
      <c r="H79" s="350" t="str">
        <f>IF($H$27="","",$H$27)</f>
        <v>USD/pcs</v>
      </c>
      <c r="I79" s="625">
        <f>IF(K78=0,0,ROUND(K78/J65/I14*1000,2))</f>
        <v>0</v>
      </c>
      <c r="J79" s="626"/>
      <c r="K79" s="351"/>
      <c r="L79" s="352"/>
      <c r="M79" s="625">
        <f>IF(O78=0,0,ROUND(O78/N65/M14*1000,2))</f>
        <v>0</v>
      </c>
      <c r="N79" s="626"/>
      <c r="O79" s="351"/>
      <c r="P79" s="352"/>
      <c r="Q79" s="625">
        <f>IF(S78=0,0,ROUND(S78/R65/Q14*1000,2))</f>
        <v>0</v>
      </c>
      <c r="R79" s="626"/>
      <c r="S79" s="351"/>
      <c r="T79" s="353"/>
      <c r="U79" s="354"/>
      <c r="V79" s="354"/>
      <c r="W79" s="354"/>
      <c r="X79" s="354"/>
      <c r="Y79" s="354"/>
      <c r="Z79"/>
      <c r="AA79"/>
      <c r="AB79"/>
      <c r="AD79"/>
      <c r="AE79"/>
      <c r="AF79" s="50"/>
      <c r="AH79"/>
      <c r="AI79"/>
      <c r="AJ79"/>
      <c r="AK79"/>
      <c r="AL79"/>
    </row>
    <row r="80" spans="5:38" ht="18.75" customHeight="1" thickTop="1">
      <c r="E80" s="641" t="s">
        <v>275</v>
      </c>
      <c r="F80" s="643" t="s">
        <v>276</v>
      </c>
      <c r="G80" s="644"/>
      <c r="H80" s="645"/>
      <c r="I80" s="646" t="s">
        <v>277</v>
      </c>
      <c r="J80" s="647"/>
      <c r="K80" s="647"/>
      <c r="L80" s="648"/>
      <c r="M80" s="646" t="s">
        <v>277</v>
      </c>
      <c r="N80" s="647"/>
      <c r="O80" s="647"/>
      <c r="P80" s="648"/>
      <c r="Q80" s="646"/>
      <c r="R80" s="647"/>
      <c r="S80" s="647"/>
      <c r="T80" s="649"/>
      <c r="U80" s="55"/>
      <c r="V80" s="55"/>
      <c r="W80" s="55"/>
      <c r="X80" s="55"/>
      <c r="Y80" s="55"/>
      <c r="AG80" s="32"/>
    </row>
    <row r="81" spans="5:38" ht="18.75" customHeight="1" thickBot="1">
      <c r="E81" s="642"/>
      <c r="F81" s="650" t="s">
        <v>278</v>
      </c>
      <c r="G81" s="651"/>
      <c r="H81" s="652"/>
      <c r="I81" s="653"/>
      <c r="J81" s="654"/>
      <c r="K81" s="655"/>
      <c r="L81" s="656"/>
      <c r="M81" s="632">
        <v>100</v>
      </c>
      <c r="N81" s="633"/>
      <c r="O81" s="634">
        <v>400</v>
      </c>
      <c r="P81" s="657"/>
      <c r="Q81" s="632"/>
      <c r="R81" s="633"/>
      <c r="S81" s="634"/>
      <c r="T81" s="635"/>
      <c r="U81" s="355"/>
      <c r="V81" s="355"/>
      <c r="W81" s="355"/>
      <c r="X81" s="355"/>
      <c r="Y81" s="355"/>
      <c r="Z81" s="356"/>
      <c r="AA81" s="356"/>
      <c r="AB81" s="356"/>
      <c r="AC81" s="356"/>
      <c r="AD81" s="121"/>
      <c r="AE81" s="357"/>
      <c r="AF81" s="357"/>
      <c r="AG81" s="356"/>
      <c r="AH81" s="121"/>
      <c r="AI81" s="356"/>
      <c r="AJ81" s="356"/>
      <c r="AK81" s="356"/>
      <c r="AL81" s="356"/>
    </row>
    <row r="82" spans="5:38" s="356" customFormat="1" ht="19.5" customHeight="1" thickTop="1">
      <c r="E82" s="358"/>
      <c r="F82" s="359" t="s">
        <v>279</v>
      </c>
      <c r="G82" s="360"/>
      <c r="H82" s="361"/>
      <c r="I82" s="636" t="s">
        <v>163</v>
      </c>
      <c r="J82" s="637"/>
      <c r="K82" s="638" t="s">
        <v>188</v>
      </c>
      <c r="L82" s="639"/>
      <c r="M82" s="636" t="s">
        <v>163</v>
      </c>
      <c r="N82" s="637"/>
      <c r="O82" s="638" t="s">
        <v>188</v>
      </c>
      <c r="P82" s="639"/>
      <c r="Q82" s="636" t="s">
        <v>163</v>
      </c>
      <c r="R82" s="637"/>
      <c r="S82" s="638" t="s">
        <v>188</v>
      </c>
      <c r="T82" s="640"/>
      <c r="U82" s="76"/>
      <c r="V82" s="76"/>
      <c r="W82" s="76"/>
      <c r="X82" s="76"/>
      <c r="Y82" s="76"/>
      <c r="AD82" s="121"/>
      <c r="AE82" s="357"/>
      <c r="AF82" s="357"/>
      <c r="AH82" s="121"/>
    </row>
    <row r="83" spans="5:38" s="356" customFormat="1" ht="19.5" customHeight="1">
      <c r="E83" s="358"/>
      <c r="F83" s="660" t="s">
        <v>280</v>
      </c>
      <c r="G83" s="661"/>
      <c r="H83" s="662"/>
      <c r="I83" s="663"/>
      <c r="J83" s="664"/>
      <c r="K83" s="665"/>
      <c r="L83" s="666"/>
      <c r="M83" s="667">
        <v>15000</v>
      </c>
      <c r="N83" s="668"/>
      <c r="O83" s="658">
        <v>1</v>
      </c>
      <c r="P83" s="669"/>
      <c r="Q83" s="667"/>
      <c r="R83" s="668"/>
      <c r="S83" s="658"/>
      <c r="T83" s="659"/>
      <c r="U83" s="76"/>
      <c r="V83" s="76"/>
      <c r="W83" s="76"/>
      <c r="X83" s="76"/>
      <c r="Y83" s="76"/>
      <c r="AD83" s="121"/>
      <c r="AE83" s="357"/>
      <c r="AF83" s="357"/>
      <c r="AH83" s="121"/>
    </row>
    <row r="84" spans="5:38" s="356" customFormat="1" ht="19.5" customHeight="1">
      <c r="E84" s="358"/>
      <c r="F84" s="660" t="s">
        <v>281</v>
      </c>
      <c r="G84" s="661"/>
      <c r="H84" s="662"/>
      <c r="I84" s="663"/>
      <c r="J84" s="664"/>
      <c r="K84" s="665"/>
      <c r="L84" s="666"/>
      <c r="M84" s="667">
        <v>2000</v>
      </c>
      <c r="N84" s="668"/>
      <c r="O84" s="658">
        <v>1</v>
      </c>
      <c r="P84" s="669"/>
      <c r="Q84" s="667"/>
      <c r="R84" s="668"/>
      <c r="S84" s="658"/>
      <c r="T84" s="659"/>
      <c r="U84" s="76"/>
      <c r="V84" s="76"/>
      <c r="W84" s="76"/>
      <c r="X84" s="76"/>
      <c r="Y84" s="76"/>
      <c r="AD84" s="121"/>
      <c r="AE84" s="357"/>
      <c r="AF84" s="357"/>
      <c r="AH84" s="121"/>
    </row>
    <row r="85" spans="5:38" s="356" customFormat="1" ht="19.5" customHeight="1">
      <c r="E85" s="358"/>
      <c r="F85" s="660" t="s">
        <v>282</v>
      </c>
      <c r="G85" s="661"/>
      <c r="H85" s="662"/>
      <c r="I85" s="663"/>
      <c r="J85" s="664"/>
      <c r="K85" s="665"/>
      <c r="L85" s="666"/>
      <c r="M85" s="667">
        <v>2000</v>
      </c>
      <c r="N85" s="668"/>
      <c r="O85" s="658">
        <v>11</v>
      </c>
      <c r="P85" s="669"/>
      <c r="Q85" s="667"/>
      <c r="R85" s="668"/>
      <c r="S85" s="658"/>
      <c r="T85" s="659"/>
      <c r="U85" s="76"/>
      <c r="V85" s="76"/>
      <c r="W85" s="76"/>
      <c r="X85" s="76"/>
      <c r="Y85" s="76"/>
      <c r="AD85" s="121"/>
      <c r="AE85" s="357"/>
      <c r="AF85" s="357"/>
      <c r="AH85" s="121"/>
    </row>
    <row r="86" spans="5:38" s="356" customFormat="1" ht="19.5" customHeight="1">
      <c r="E86" s="362"/>
      <c r="F86" s="660" t="s">
        <v>283</v>
      </c>
      <c r="G86" s="661"/>
      <c r="H86" s="662"/>
      <c r="I86" s="663"/>
      <c r="J86" s="664"/>
      <c r="K86" s="665"/>
      <c r="L86" s="666"/>
      <c r="M86" s="667">
        <v>2000</v>
      </c>
      <c r="N86" s="668"/>
      <c r="O86" s="658">
        <v>1</v>
      </c>
      <c r="P86" s="669"/>
      <c r="Q86" s="667"/>
      <c r="R86" s="668"/>
      <c r="S86" s="658"/>
      <c r="T86" s="659"/>
      <c r="U86" s="76"/>
      <c r="V86" s="76"/>
      <c r="W86" s="76"/>
      <c r="X86" s="76"/>
      <c r="Y86" s="76"/>
      <c r="AD86" s="121"/>
      <c r="AE86" s="357"/>
      <c r="AF86" s="357"/>
      <c r="AH86" s="121"/>
    </row>
    <row r="87" spans="5:38" s="356" customFormat="1" ht="19.5" customHeight="1">
      <c r="E87" s="362"/>
      <c r="F87" s="660" t="s">
        <v>284</v>
      </c>
      <c r="G87" s="661"/>
      <c r="H87" s="662"/>
      <c r="I87" s="663"/>
      <c r="J87" s="664"/>
      <c r="K87" s="665"/>
      <c r="L87" s="666"/>
      <c r="M87" s="667">
        <v>2000</v>
      </c>
      <c r="N87" s="668"/>
      <c r="O87" s="658">
        <v>1</v>
      </c>
      <c r="P87" s="669"/>
      <c r="Q87" s="667"/>
      <c r="R87" s="668"/>
      <c r="S87" s="658"/>
      <c r="T87" s="659"/>
      <c r="U87" s="76"/>
      <c r="V87" s="76"/>
      <c r="W87" s="76"/>
      <c r="X87" s="76"/>
      <c r="Y87" s="76"/>
      <c r="AD87" s="121"/>
      <c r="AE87" s="357"/>
      <c r="AF87" s="357"/>
      <c r="AH87" s="121"/>
    </row>
    <row r="88" spans="5:38" s="356" customFormat="1" ht="19.5" customHeight="1">
      <c r="E88" s="358"/>
      <c r="F88" s="660" t="s">
        <v>285</v>
      </c>
      <c r="G88" s="661"/>
      <c r="H88" s="662"/>
      <c r="I88" s="663"/>
      <c r="J88" s="664"/>
      <c r="K88" s="665"/>
      <c r="L88" s="666"/>
      <c r="M88" s="667">
        <v>2000</v>
      </c>
      <c r="N88" s="668"/>
      <c r="O88" s="658">
        <v>1</v>
      </c>
      <c r="P88" s="669"/>
      <c r="Q88" s="667"/>
      <c r="R88" s="668"/>
      <c r="S88" s="658"/>
      <c r="T88" s="659"/>
      <c r="U88" s="76"/>
      <c r="V88" s="76"/>
      <c r="W88" s="76"/>
      <c r="X88" s="76"/>
      <c r="Y88" s="76"/>
      <c r="AD88" s="121"/>
      <c r="AE88" s="357"/>
      <c r="AF88" s="357"/>
      <c r="AH88" s="121"/>
    </row>
    <row r="89" spans="5:38" s="356" customFormat="1" ht="19.5" customHeight="1">
      <c r="E89" s="358"/>
      <c r="F89" s="660" t="s">
        <v>286</v>
      </c>
      <c r="G89" s="661"/>
      <c r="H89" s="662"/>
      <c r="I89" s="663"/>
      <c r="J89" s="664"/>
      <c r="K89" s="665"/>
      <c r="L89" s="666"/>
      <c r="M89" s="667">
        <v>1000</v>
      </c>
      <c r="N89" s="668"/>
      <c r="O89" s="658">
        <v>1</v>
      </c>
      <c r="P89" s="669"/>
      <c r="Q89" s="667"/>
      <c r="R89" s="668"/>
      <c r="S89" s="658"/>
      <c r="T89" s="659"/>
      <c r="U89" s="76"/>
      <c r="V89" s="76"/>
      <c r="W89" s="76"/>
      <c r="X89" s="76"/>
      <c r="Y89" s="76"/>
      <c r="AD89" s="121"/>
      <c r="AE89" s="357"/>
      <c r="AF89" s="357"/>
      <c r="AH89" s="121"/>
    </row>
    <row r="90" spans="5:38" s="356" customFormat="1" ht="19.5" customHeight="1">
      <c r="E90" s="358"/>
      <c r="F90" s="660" t="s">
        <v>285</v>
      </c>
      <c r="G90" s="661"/>
      <c r="H90" s="662"/>
      <c r="I90" s="663"/>
      <c r="J90" s="664"/>
      <c r="K90" s="665"/>
      <c r="L90" s="666"/>
      <c r="M90" s="667">
        <v>2000</v>
      </c>
      <c r="N90" s="668"/>
      <c r="O90" s="658">
        <v>1</v>
      </c>
      <c r="P90" s="669"/>
      <c r="Q90" s="667"/>
      <c r="R90" s="668"/>
      <c r="S90" s="658"/>
      <c r="T90" s="659"/>
      <c r="U90" s="76"/>
      <c r="V90" s="76"/>
      <c r="W90" s="76"/>
      <c r="X90" s="76"/>
      <c r="Y90" s="76"/>
      <c r="AD90" s="121"/>
      <c r="AE90" s="357"/>
      <c r="AF90" s="357"/>
      <c r="AH90" s="121"/>
    </row>
    <row r="91" spans="5:38" s="356" customFormat="1" ht="19.5" customHeight="1" thickBot="1">
      <c r="E91" s="362"/>
      <c r="F91" s="693" t="s">
        <v>286</v>
      </c>
      <c r="G91" s="694"/>
      <c r="H91" s="695"/>
      <c r="I91" s="696"/>
      <c r="J91" s="697"/>
      <c r="K91" s="698"/>
      <c r="L91" s="699"/>
      <c r="M91" s="700">
        <v>0</v>
      </c>
      <c r="N91" s="701"/>
      <c r="O91" s="683">
        <v>1</v>
      </c>
      <c r="P91" s="702"/>
      <c r="Q91" s="700"/>
      <c r="R91" s="701"/>
      <c r="S91" s="683"/>
      <c r="T91" s="684"/>
      <c r="U91" s="76"/>
      <c r="V91" s="76"/>
      <c r="W91" s="76"/>
      <c r="X91" s="76"/>
      <c r="Y91" s="76"/>
      <c r="AD91" s="121"/>
      <c r="AE91" s="357"/>
      <c r="AF91" s="357"/>
      <c r="AH91" s="121"/>
    </row>
    <row r="92" spans="5:38" s="356" customFormat="1" ht="19.5" customHeight="1" thickTop="1">
      <c r="E92" s="363"/>
      <c r="F92" s="685" t="s">
        <v>287</v>
      </c>
      <c r="G92" s="685"/>
      <c r="H92" s="364" t="str">
        <f t="shared" ref="H92:H102" si="9">IF($H$27="","",$H$27)</f>
        <v>USD/pcs</v>
      </c>
      <c r="I92" s="686" t="e">
        <f>ROUND(((I83*K83+I84*K84+I91*K91+I85*K85+I86*K86+I87*K87+I88*K88+I89*K89+I90*K90)/K81),2)</f>
        <v>#DIV/0!</v>
      </c>
      <c r="J92" s="687"/>
      <c r="K92" s="687"/>
      <c r="L92" s="688"/>
      <c r="M92" s="686">
        <f>ROUND(((M83*O83+M84*O84+M91*O91+M85*O85+M86*O86+M87*O87+M88*O88+M89*O89+M90*O90)/O81),2)</f>
        <v>120</v>
      </c>
      <c r="N92" s="687"/>
      <c r="O92" s="687"/>
      <c r="P92" s="688"/>
      <c r="Q92" s="689" t="e">
        <f>ROUND((Q88*S88+Q89*S89+Q90*S90+Q91*S91)/S81*1000,2)</f>
        <v>#DIV/0!</v>
      </c>
      <c r="R92" s="690">
        <f>ROUND((R88*T88+R89*T89+R90*T90+R91*T91)/$O$81*1000,2)</f>
        <v>0</v>
      </c>
      <c r="S92" s="691"/>
      <c r="T92" s="692"/>
      <c r="U92" s="365"/>
      <c r="V92" s="365"/>
      <c r="W92" s="365"/>
      <c r="X92" s="365"/>
      <c r="Y92" s="365"/>
      <c r="Z92" s="32"/>
      <c r="AA92" s="32"/>
      <c r="AB92" s="32"/>
      <c r="AC92" s="32"/>
      <c r="AD92" s="32"/>
      <c r="AE92" s="32"/>
      <c r="AF92" s="32"/>
      <c r="AG92"/>
      <c r="AH92"/>
      <c r="AI92" s="32"/>
      <c r="AJ92" s="32"/>
      <c r="AK92" s="32"/>
      <c r="AL92" s="32"/>
    </row>
    <row r="93" spans="5:38" s="32" customFormat="1" ht="18.75" customHeight="1">
      <c r="E93" s="670" t="s">
        <v>216</v>
      </c>
      <c r="F93" s="673"/>
      <c r="G93" s="674"/>
      <c r="H93" s="366" t="str">
        <f t="shared" si="9"/>
        <v>USD/pcs</v>
      </c>
      <c r="I93" s="367"/>
      <c r="J93" s="368"/>
      <c r="K93" s="368"/>
      <c r="L93" s="369"/>
      <c r="M93" s="367"/>
      <c r="N93" s="368"/>
      <c r="O93" s="368"/>
      <c r="P93" s="369"/>
      <c r="Q93" s="367"/>
      <c r="R93" s="368"/>
      <c r="S93" s="368"/>
      <c r="T93" s="370"/>
      <c r="U93" s="371"/>
      <c r="V93" s="371"/>
      <c r="W93" s="371"/>
      <c r="X93" s="371"/>
      <c r="Y93" s="371"/>
      <c r="AG93"/>
      <c r="AH93"/>
    </row>
    <row r="94" spans="5:38" s="32" customFormat="1" ht="18.75" customHeight="1">
      <c r="E94" s="671"/>
      <c r="F94" s="675"/>
      <c r="G94" s="676"/>
      <c r="H94" s="372" t="str">
        <f t="shared" si="9"/>
        <v>USD/pcs</v>
      </c>
      <c r="I94" s="367"/>
      <c r="J94" s="368"/>
      <c r="K94" s="368"/>
      <c r="L94" s="369"/>
      <c r="M94" s="367"/>
      <c r="N94" s="368"/>
      <c r="O94" s="368"/>
      <c r="P94" s="369"/>
      <c r="Q94" s="367"/>
      <c r="R94" s="368"/>
      <c r="S94" s="368"/>
      <c r="T94" s="370"/>
      <c r="U94" s="371"/>
      <c r="V94" s="371"/>
      <c r="W94" s="371"/>
      <c r="X94" s="371"/>
      <c r="Y94" s="371"/>
      <c r="AG94"/>
      <c r="AH94"/>
    </row>
    <row r="95" spans="5:38" s="32" customFormat="1" ht="18.75" customHeight="1" thickBot="1">
      <c r="E95" s="672"/>
      <c r="F95" s="677"/>
      <c r="G95" s="678"/>
      <c r="H95" s="372" t="str">
        <f t="shared" si="9"/>
        <v>USD/pcs</v>
      </c>
      <c r="I95" s="373"/>
      <c r="J95" s="371"/>
      <c r="K95" s="371"/>
      <c r="L95" s="374"/>
      <c r="M95" s="373"/>
      <c r="N95" s="371"/>
      <c r="O95" s="371"/>
      <c r="P95" s="374"/>
      <c r="Q95" s="373"/>
      <c r="R95" s="371"/>
      <c r="S95" s="371"/>
      <c r="T95" s="375"/>
      <c r="U95" s="371"/>
      <c r="V95" s="371"/>
      <c r="W95" s="371"/>
      <c r="X95" s="371"/>
      <c r="Y95" s="371"/>
      <c r="AG95"/>
      <c r="AH95"/>
    </row>
    <row r="96" spans="5:38" s="32" customFormat="1" ht="20.25" customHeight="1" thickTop="1" thickBot="1">
      <c r="E96" s="679" t="s">
        <v>288</v>
      </c>
      <c r="F96" s="680"/>
      <c r="G96" s="680"/>
      <c r="H96" s="376" t="str">
        <f t="shared" si="9"/>
        <v>USD/pcs</v>
      </c>
      <c r="I96" s="681" t="e">
        <f>SUM(I49,I60,I64,I79,I92,I93,I94,I95)</f>
        <v>#DIV/0!</v>
      </c>
      <c r="J96" s="682"/>
      <c r="K96" s="377"/>
      <c r="L96" s="378"/>
      <c r="M96" s="681">
        <f>SUM(M49,M60,M64,M79,M92,M93,M94,M95)</f>
        <v>1008.13</v>
      </c>
      <c r="N96" s="682"/>
      <c r="O96" s="377"/>
      <c r="P96" s="378"/>
      <c r="Q96" s="681" t="e">
        <f>SUM(Q49,Q60,Q64,Q79,Q92,Q93,Q94,Q95)</f>
        <v>#DIV/0!</v>
      </c>
      <c r="R96" s="682"/>
      <c r="S96" s="377"/>
      <c r="T96" s="379"/>
      <c r="U96" s="152"/>
      <c r="V96" s="152"/>
      <c r="W96" s="152"/>
      <c r="X96" s="152"/>
      <c r="Y96" s="152"/>
      <c r="AB96" s="380"/>
      <c r="AD96" s="380"/>
      <c r="AE96" s="380"/>
      <c r="AG96"/>
    </row>
    <row r="97" spans="5:38" s="32" customFormat="1" ht="18.75" customHeight="1" thickTop="1">
      <c r="E97" s="711" t="s">
        <v>289</v>
      </c>
      <c r="F97" s="712"/>
      <c r="G97" s="712"/>
      <c r="H97" s="381" t="str">
        <f t="shared" si="9"/>
        <v>USD/pcs</v>
      </c>
      <c r="I97" s="382"/>
      <c r="J97" s="383"/>
      <c r="K97" s="383"/>
      <c r="L97" s="384"/>
      <c r="M97" s="382">
        <v>10</v>
      </c>
      <c r="N97" s="383"/>
      <c r="O97" s="383"/>
      <c r="P97" s="384"/>
      <c r="Q97" s="382"/>
      <c r="R97" s="383"/>
      <c r="S97" s="383"/>
      <c r="T97" s="385"/>
      <c r="U97" s="386"/>
      <c r="V97" s="386"/>
      <c r="W97" s="386"/>
      <c r="X97" s="386"/>
      <c r="Y97" s="386"/>
      <c r="Z97" s="380"/>
      <c r="AA97" s="380"/>
      <c r="AB97" s="380"/>
      <c r="AD97" s="380"/>
      <c r="AE97" s="380"/>
      <c r="AG97"/>
      <c r="AJ97" s="380"/>
      <c r="AK97" s="380"/>
      <c r="AL97" s="380"/>
    </row>
    <row r="98" spans="5:38" s="380" customFormat="1" ht="18.75" customHeight="1">
      <c r="E98" s="713"/>
      <c r="F98" s="714"/>
      <c r="G98" s="714"/>
      <c r="H98" s="366" t="str">
        <f t="shared" si="9"/>
        <v>USD/pcs</v>
      </c>
      <c r="I98" s="387"/>
      <c r="J98" s="388"/>
      <c r="K98" s="388"/>
      <c r="L98" s="389"/>
      <c r="M98" s="387"/>
      <c r="N98" s="388"/>
      <c r="O98" s="388"/>
      <c r="P98" s="389"/>
      <c r="Q98" s="387"/>
      <c r="R98" s="388"/>
      <c r="S98" s="388"/>
      <c r="T98" s="390"/>
      <c r="U98" s="386"/>
      <c r="V98" s="386"/>
      <c r="W98" s="386"/>
      <c r="X98" s="386"/>
      <c r="Y98" s="386"/>
      <c r="AC98" s="32"/>
      <c r="AF98" s="32"/>
      <c r="AG98"/>
      <c r="AH98" s="32"/>
      <c r="AI98" s="32"/>
    </row>
    <row r="99" spans="5:38" s="380" customFormat="1" ht="18.75" customHeight="1">
      <c r="E99" s="713"/>
      <c r="F99" s="714"/>
      <c r="G99" s="714"/>
      <c r="H99" s="366" t="str">
        <f t="shared" si="9"/>
        <v>USD/pcs</v>
      </c>
      <c r="I99" s="391"/>
      <c r="J99" s="392"/>
      <c r="K99" s="392"/>
      <c r="L99" s="393"/>
      <c r="M99" s="391"/>
      <c r="N99" s="392"/>
      <c r="O99" s="392"/>
      <c r="P99" s="393"/>
      <c r="Q99" s="391"/>
      <c r="R99" s="392"/>
      <c r="S99" s="392"/>
      <c r="T99" s="394"/>
      <c r="U99" s="386"/>
      <c r="V99" s="386"/>
      <c r="W99" s="386"/>
      <c r="X99" s="386"/>
      <c r="Y99" s="386"/>
      <c r="AB99"/>
      <c r="AC99" s="32"/>
      <c r="AD99"/>
      <c r="AE99"/>
      <c r="AF99" s="32"/>
      <c r="AG99"/>
      <c r="AH99" s="32"/>
    </row>
    <row r="100" spans="5:38" s="380" customFormat="1" ht="18.75" customHeight="1" thickBot="1">
      <c r="E100" s="715"/>
      <c r="F100" s="716"/>
      <c r="G100" s="716"/>
      <c r="H100" s="372" t="str">
        <f t="shared" si="9"/>
        <v>USD/pcs</v>
      </c>
      <c r="I100" s="391"/>
      <c r="J100" s="392"/>
      <c r="K100" s="392"/>
      <c r="L100" s="393"/>
      <c r="M100" s="391"/>
      <c r="N100" s="392"/>
      <c r="O100" s="392"/>
      <c r="P100" s="393"/>
      <c r="Q100" s="391"/>
      <c r="R100" s="392"/>
      <c r="S100" s="392"/>
      <c r="T100" s="394"/>
      <c r="U100" s="386"/>
      <c r="V100" s="386"/>
      <c r="W100" s="386"/>
      <c r="X100" s="386"/>
      <c r="Y100" s="386"/>
      <c r="Z100"/>
      <c r="AA100"/>
      <c r="AB100"/>
      <c r="AC100" s="32"/>
      <c r="AD100"/>
      <c r="AE100"/>
      <c r="AF100" s="32"/>
      <c r="AG100"/>
      <c r="AH100" s="32"/>
      <c r="AJ100"/>
      <c r="AK100"/>
      <c r="AL100"/>
    </row>
    <row r="101" spans="5:38" ht="20.25" customHeight="1" thickTop="1" thickBot="1">
      <c r="E101" s="732" t="s">
        <v>290</v>
      </c>
      <c r="F101" s="733"/>
      <c r="G101" s="733"/>
      <c r="H101" s="395" t="str">
        <f t="shared" si="9"/>
        <v>USD/pcs</v>
      </c>
      <c r="I101" s="681" t="e">
        <f>SUM(I96:I100)</f>
        <v>#DIV/0!</v>
      </c>
      <c r="J101" s="682"/>
      <c r="K101" s="396"/>
      <c r="L101" s="397"/>
      <c r="M101" s="681">
        <f>SUM(M96:M100)</f>
        <v>1018.13</v>
      </c>
      <c r="N101" s="682"/>
      <c r="O101" s="396"/>
      <c r="P101" s="397"/>
      <c r="Q101" s="681" t="e">
        <f>SUM(Q96:Q100)</f>
        <v>#DIV/0!</v>
      </c>
      <c r="R101" s="682"/>
      <c r="S101" s="396"/>
      <c r="T101" s="398"/>
      <c r="U101" s="386"/>
      <c r="V101" s="386"/>
      <c r="W101" s="386"/>
      <c r="X101" s="386"/>
      <c r="Y101" s="386"/>
      <c r="AF101" s="380"/>
      <c r="AG101" s="32"/>
      <c r="AH101" s="32"/>
    </row>
    <row r="102" spans="5:38" ht="20.25" customHeight="1" thickTop="1" thickBot="1">
      <c r="E102" s="703" t="s">
        <v>291</v>
      </c>
      <c r="F102" s="704"/>
      <c r="G102" s="704"/>
      <c r="H102" s="399" t="str">
        <f t="shared" si="9"/>
        <v>USD/pcs</v>
      </c>
      <c r="I102" s="400"/>
      <c r="J102" s="401"/>
      <c r="K102" s="402"/>
      <c r="L102" s="403"/>
      <c r="M102" s="400">
        <v>10</v>
      </c>
      <c r="N102" s="401"/>
      <c r="O102" s="402"/>
      <c r="P102" s="403"/>
      <c r="Q102" s="400" t="str">
        <f>IF(R102="","",ROUND(Q101*R102,2))</f>
        <v/>
      </c>
      <c r="R102" s="401"/>
      <c r="S102" s="402"/>
      <c r="T102" s="404"/>
      <c r="U102" s="386"/>
      <c r="V102" s="386"/>
      <c r="W102" s="386"/>
      <c r="X102" s="386"/>
      <c r="Y102" s="386"/>
      <c r="AF102" s="380"/>
      <c r="AG102" s="32"/>
      <c r="AH102" s="32"/>
    </row>
    <row r="103" spans="5:38" ht="26.25" customHeight="1" thickTop="1">
      <c r="E103" s="705" t="s">
        <v>292</v>
      </c>
      <c r="F103" s="706"/>
      <c r="G103" s="706"/>
      <c r="H103" s="405" t="s">
        <v>293</v>
      </c>
      <c r="I103" s="406" t="s">
        <v>294</v>
      </c>
      <c r="J103" s="407"/>
      <c r="K103" s="408"/>
      <c r="L103" s="409"/>
      <c r="M103" s="406" t="s">
        <v>294</v>
      </c>
      <c r="N103" s="407"/>
      <c r="O103" s="408"/>
      <c r="P103" s="409"/>
      <c r="Q103" s="406"/>
      <c r="R103" s="407"/>
      <c r="S103" s="408"/>
      <c r="T103" s="410"/>
      <c r="U103" s="411"/>
      <c r="V103" s="411"/>
      <c r="W103" s="411"/>
      <c r="X103" s="411"/>
      <c r="Y103" s="411"/>
      <c r="AF103" s="380"/>
      <c r="AG103" s="32"/>
      <c r="AH103" s="32"/>
    </row>
    <row r="104" spans="5:38" ht="26.25" customHeight="1">
      <c r="E104" s="707"/>
      <c r="F104" s="708"/>
      <c r="G104" s="708"/>
      <c r="H104" s="412" t="str">
        <f>IF($H$27="","",$H$27)</f>
        <v>USD/pcs</v>
      </c>
      <c r="I104" s="709" t="e">
        <f>SUM(I101:I102)</f>
        <v>#DIV/0!</v>
      </c>
      <c r="J104" s="710"/>
      <c r="K104" s="413"/>
      <c r="L104" s="414"/>
      <c r="M104" s="709">
        <f>SUM(M101:M102)</f>
        <v>1028.1300000000001</v>
      </c>
      <c r="N104" s="710"/>
      <c r="O104" s="413"/>
      <c r="P104" s="414"/>
      <c r="Q104" s="709" t="e">
        <f>SUM(Q101:Q102)</f>
        <v>#DIV/0!</v>
      </c>
      <c r="R104" s="710"/>
      <c r="S104" s="413"/>
      <c r="T104" s="415"/>
      <c r="U104" s="416"/>
      <c r="V104" s="416"/>
      <c r="W104" s="416"/>
      <c r="X104" s="416"/>
      <c r="Y104" s="416"/>
      <c r="AG104" s="32"/>
      <c r="AH104" s="32"/>
    </row>
    <row r="105" spans="5:38" ht="26.25" customHeight="1" thickBot="1">
      <c r="E105" s="717" t="s">
        <v>295</v>
      </c>
      <c r="F105" s="718"/>
      <c r="G105" s="718"/>
      <c r="H105" s="417" t="s">
        <v>296</v>
      </c>
      <c r="I105" s="418"/>
      <c r="J105" s="419"/>
      <c r="K105" s="419"/>
      <c r="L105" s="420"/>
      <c r="M105" s="418"/>
      <c r="N105" s="419"/>
      <c r="O105" s="419"/>
      <c r="P105" s="420"/>
      <c r="Q105" s="418"/>
      <c r="R105" s="419"/>
      <c r="S105" s="419"/>
      <c r="T105" s="421"/>
      <c r="U105" s="419"/>
      <c r="V105" s="419"/>
      <c r="W105" s="419"/>
      <c r="X105" s="419"/>
      <c r="Y105" s="419"/>
      <c r="AG105" s="32"/>
      <c r="AH105" s="380"/>
    </row>
    <row r="106" spans="5:38" ht="23.25" customHeight="1" thickTop="1" thickBot="1">
      <c r="E106" s="719" t="s">
        <v>297</v>
      </c>
      <c r="F106" s="720"/>
      <c r="G106" s="720"/>
      <c r="H106" s="422" t="s">
        <v>298</v>
      </c>
      <c r="I106" s="423"/>
      <c r="J106" s="424"/>
      <c r="K106" s="424"/>
      <c r="L106" s="425"/>
      <c r="M106" s="423">
        <v>36000</v>
      </c>
      <c r="N106" s="424"/>
      <c r="O106" s="424"/>
      <c r="P106" s="425"/>
      <c r="Q106" s="423"/>
      <c r="R106" s="424"/>
      <c r="S106" s="424"/>
      <c r="T106" s="426"/>
      <c r="U106" s="427"/>
      <c r="V106" s="427"/>
      <c r="W106" s="427"/>
      <c r="X106" s="427"/>
      <c r="Y106" s="427"/>
      <c r="AG106" s="380"/>
    </row>
    <row r="107" spans="5:38" ht="21" customHeight="1" thickTop="1">
      <c r="E107" s="721" t="s">
        <v>299</v>
      </c>
      <c r="F107" s="722"/>
      <c r="G107" s="428" t="s">
        <v>300</v>
      </c>
      <c r="H107" s="429"/>
      <c r="I107" s="430" t="s">
        <v>266</v>
      </c>
      <c r="J107" s="431"/>
      <c r="K107" s="431"/>
      <c r="L107" s="432"/>
      <c r="M107" s="430" t="s">
        <v>266</v>
      </c>
      <c r="N107" s="431"/>
      <c r="O107" s="431"/>
      <c r="P107" s="432"/>
      <c r="Q107" s="430"/>
      <c r="R107" s="431"/>
      <c r="S107" s="431"/>
      <c r="T107" s="433"/>
      <c r="U107" s="434"/>
      <c r="V107" s="434"/>
      <c r="W107" s="434"/>
      <c r="X107" s="434"/>
      <c r="Y107" s="434"/>
      <c r="Z107" s="32"/>
      <c r="AC107"/>
      <c r="AD107" s="50"/>
      <c r="AE107" s="50"/>
      <c r="AG107" s="380"/>
    </row>
    <row r="108" spans="5:38" ht="21" customHeight="1">
      <c r="E108" s="723"/>
      <c r="F108" s="724"/>
      <c r="G108" s="435" t="s">
        <v>118</v>
      </c>
      <c r="H108" s="436"/>
      <c r="I108" s="437" t="s">
        <v>47</v>
      </c>
      <c r="J108" s="438"/>
      <c r="K108" s="438"/>
      <c r="L108" s="439"/>
      <c r="M108" s="437" t="s">
        <v>47</v>
      </c>
      <c r="N108" s="438"/>
      <c r="O108" s="438"/>
      <c r="P108" s="439"/>
      <c r="Q108" s="437"/>
      <c r="R108" s="438"/>
      <c r="S108" s="438"/>
      <c r="T108" s="440"/>
      <c r="U108" s="434"/>
      <c r="V108" s="434"/>
      <c r="W108" s="434"/>
      <c r="X108" s="434"/>
      <c r="Y108" s="434"/>
      <c r="Z108" s="32"/>
      <c r="AC108"/>
      <c r="AD108" s="50"/>
      <c r="AE108" s="50"/>
      <c r="AG108" s="380"/>
    </row>
    <row r="109" spans="5:38" ht="21" customHeight="1">
      <c r="E109" s="723"/>
      <c r="F109" s="724"/>
      <c r="G109" s="435" t="s">
        <v>301</v>
      </c>
      <c r="H109" s="436"/>
      <c r="I109" s="437" t="s">
        <v>25</v>
      </c>
      <c r="J109" s="438"/>
      <c r="K109" s="438"/>
      <c r="L109" s="439"/>
      <c r="M109" s="437" t="s">
        <v>25</v>
      </c>
      <c r="N109" s="438"/>
      <c r="O109" s="438"/>
      <c r="P109" s="439"/>
      <c r="Q109" s="437"/>
      <c r="R109" s="438"/>
      <c r="S109" s="438"/>
      <c r="T109" s="440"/>
      <c r="U109" s="434"/>
      <c r="V109" s="434"/>
      <c r="W109" s="434"/>
      <c r="X109" s="434"/>
      <c r="Y109" s="434"/>
      <c r="Z109" s="32"/>
      <c r="AC109"/>
      <c r="AD109" s="50"/>
      <c r="AE109" s="50"/>
      <c r="AG109" s="380"/>
    </row>
    <row r="110" spans="5:38" ht="21" customHeight="1" thickBot="1">
      <c r="E110" s="725"/>
      <c r="F110" s="726"/>
      <c r="G110" s="441" t="s">
        <v>302</v>
      </c>
      <c r="H110" s="442"/>
      <c r="I110" s="443" t="s">
        <v>266</v>
      </c>
      <c r="J110" s="444"/>
      <c r="K110" s="444"/>
      <c r="L110" s="445"/>
      <c r="M110" s="443" t="s">
        <v>266</v>
      </c>
      <c r="N110" s="444"/>
      <c r="O110" s="444"/>
      <c r="P110" s="445"/>
      <c r="Q110" s="443"/>
      <c r="R110" s="444"/>
      <c r="S110" s="444"/>
      <c r="T110" s="446"/>
      <c r="U110" s="434"/>
      <c r="V110" s="434"/>
      <c r="W110" s="434"/>
      <c r="X110" s="434"/>
      <c r="Y110" s="434"/>
      <c r="Z110" s="32"/>
      <c r="AC110"/>
      <c r="AD110" s="50"/>
      <c r="AE110" s="50"/>
      <c r="AG110" s="380"/>
    </row>
    <row r="111" spans="5:38" ht="21" customHeight="1" thickTop="1">
      <c r="E111" s="727" t="s">
        <v>303</v>
      </c>
      <c r="F111" s="728"/>
      <c r="G111" s="728"/>
      <c r="H111" s="728"/>
      <c r="I111" s="729"/>
      <c r="J111" s="730"/>
      <c r="K111" s="730"/>
      <c r="L111" s="731"/>
      <c r="M111" s="729" t="s">
        <v>304</v>
      </c>
      <c r="N111" s="730"/>
      <c r="O111" s="730"/>
      <c r="P111" s="731"/>
      <c r="Q111" s="741"/>
      <c r="R111" s="742"/>
      <c r="S111" s="742"/>
      <c r="T111" s="743"/>
      <c r="U111" s="434"/>
      <c r="V111" s="434"/>
      <c r="W111" s="434"/>
      <c r="X111" s="434"/>
      <c r="Y111" s="434"/>
      <c r="Z111" s="32"/>
      <c r="AC111"/>
      <c r="AD111" s="50"/>
      <c r="AE111" s="50"/>
      <c r="AG111" s="380"/>
    </row>
    <row r="112" spans="5:38" ht="21" customHeight="1">
      <c r="E112" s="744" t="s">
        <v>305</v>
      </c>
      <c r="F112" s="745"/>
      <c r="G112" s="745"/>
      <c r="H112" s="745"/>
      <c r="I112" s="746"/>
      <c r="J112" s="747"/>
      <c r="K112" s="747"/>
      <c r="L112" s="748"/>
      <c r="M112" s="746"/>
      <c r="N112" s="747"/>
      <c r="O112" s="747"/>
      <c r="P112" s="748"/>
      <c r="Q112" s="447"/>
      <c r="R112" s="434"/>
      <c r="S112" s="434"/>
      <c r="T112" s="448"/>
      <c r="U112" s="434"/>
      <c r="V112" s="434"/>
      <c r="W112" s="434"/>
      <c r="X112" s="434"/>
      <c r="Y112" s="434"/>
      <c r="Z112" s="32"/>
      <c r="AC112"/>
      <c r="AD112" s="50"/>
      <c r="AE112" s="50"/>
      <c r="AG112" s="380"/>
    </row>
    <row r="113" spans="5:33" ht="21" customHeight="1" thickBot="1">
      <c r="E113" s="749" t="s">
        <v>306</v>
      </c>
      <c r="F113" s="750"/>
      <c r="G113" s="750"/>
      <c r="H113" s="750"/>
      <c r="I113" s="751"/>
      <c r="J113" s="752"/>
      <c r="K113" s="752"/>
      <c r="L113" s="753"/>
      <c r="M113" s="751">
        <v>41377</v>
      </c>
      <c r="N113" s="752"/>
      <c r="O113" s="752"/>
      <c r="P113" s="753"/>
      <c r="Q113" s="754"/>
      <c r="R113" s="755"/>
      <c r="S113" s="755"/>
      <c r="T113" s="756"/>
      <c r="U113" s="434"/>
      <c r="V113" s="434"/>
      <c r="W113" s="434"/>
      <c r="X113" s="434"/>
      <c r="Y113" s="434"/>
      <c r="Z113" s="32"/>
      <c r="AC113"/>
      <c r="AD113" s="50"/>
      <c r="AE113" s="50"/>
      <c r="AG113" s="380"/>
    </row>
    <row r="114" spans="5:33" ht="114" customHeight="1" thickTop="1" thickBot="1">
      <c r="E114" s="734" t="s">
        <v>307</v>
      </c>
      <c r="F114" s="735"/>
      <c r="G114" s="735"/>
      <c r="H114" s="736"/>
      <c r="I114" s="737"/>
      <c r="J114" s="738"/>
      <c r="K114" s="738"/>
      <c r="L114" s="739"/>
      <c r="M114" s="737"/>
      <c r="N114" s="738"/>
      <c r="O114" s="738"/>
      <c r="P114" s="739"/>
      <c r="Q114" s="737"/>
      <c r="R114" s="738"/>
      <c r="S114" s="738"/>
      <c r="T114" s="740"/>
      <c r="U114" s="449"/>
      <c r="V114" s="449"/>
      <c r="W114" s="449"/>
      <c r="X114" s="449"/>
      <c r="Y114" s="449"/>
    </row>
    <row r="115" spans="5:33" ht="114" customHeight="1" thickTop="1"/>
    <row r="116" spans="5:33" ht="20.25" customHeight="1"/>
    <row r="117" spans="5:33" ht="18.75" customHeight="1"/>
  </sheetData>
  <dataConsolidate/>
  <mergeCells count="196">
    <mergeCell ref="E114:H114"/>
    <mergeCell ref="I114:L114"/>
    <mergeCell ref="M114:P114"/>
    <mergeCell ref="Q114:T114"/>
    <mergeCell ref="Q111:T111"/>
    <mergeCell ref="E112:H112"/>
    <mergeCell ref="I112:L112"/>
    <mergeCell ref="M112:P112"/>
    <mergeCell ref="E113:H113"/>
    <mergeCell ref="I113:L113"/>
    <mergeCell ref="M113:P113"/>
    <mergeCell ref="Q113:T113"/>
    <mergeCell ref="E105:G105"/>
    <mergeCell ref="E106:G106"/>
    <mergeCell ref="E107:F110"/>
    <mergeCell ref="E111:H111"/>
    <mergeCell ref="I111:L111"/>
    <mergeCell ref="M111:P111"/>
    <mergeCell ref="E101:G101"/>
    <mergeCell ref="I101:J101"/>
    <mergeCell ref="M101:N101"/>
    <mergeCell ref="Q101:R101"/>
    <mergeCell ref="E102:G102"/>
    <mergeCell ref="E103:G104"/>
    <mergeCell ref="I104:J104"/>
    <mergeCell ref="M104:N104"/>
    <mergeCell ref="Q104:R104"/>
    <mergeCell ref="M96:N96"/>
    <mergeCell ref="Q96:R96"/>
    <mergeCell ref="E97:G97"/>
    <mergeCell ref="E98:G98"/>
    <mergeCell ref="E99:G99"/>
    <mergeCell ref="E100:G100"/>
    <mergeCell ref="E93:E95"/>
    <mergeCell ref="F93:G93"/>
    <mergeCell ref="F94:G94"/>
    <mergeCell ref="F95:G95"/>
    <mergeCell ref="E96:G96"/>
    <mergeCell ref="I96:J96"/>
    <mergeCell ref="S91:T91"/>
    <mergeCell ref="F92:G92"/>
    <mergeCell ref="I92:L92"/>
    <mergeCell ref="M92:P92"/>
    <mergeCell ref="Q92:R92"/>
    <mergeCell ref="S92:T92"/>
    <mergeCell ref="F91:H91"/>
    <mergeCell ref="I91:J91"/>
    <mergeCell ref="K91:L91"/>
    <mergeCell ref="M91:N91"/>
    <mergeCell ref="O91:P91"/>
    <mergeCell ref="Q91:R91"/>
    <mergeCell ref="S89:T89"/>
    <mergeCell ref="F90:H90"/>
    <mergeCell ref="I90:J90"/>
    <mergeCell ref="K90:L90"/>
    <mergeCell ref="M90:N90"/>
    <mergeCell ref="O90:P90"/>
    <mergeCell ref="Q90:R90"/>
    <mergeCell ref="S90:T90"/>
    <mergeCell ref="F89:H89"/>
    <mergeCell ref="I89:J89"/>
    <mergeCell ref="K89:L89"/>
    <mergeCell ref="M89:N89"/>
    <mergeCell ref="O89:P89"/>
    <mergeCell ref="Q89:R89"/>
    <mergeCell ref="S87:T87"/>
    <mergeCell ref="F88:H88"/>
    <mergeCell ref="I88:J88"/>
    <mergeCell ref="K88:L88"/>
    <mergeCell ref="M88:N88"/>
    <mergeCell ref="O88:P88"/>
    <mergeCell ref="Q88:R88"/>
    <mergeCell ref="S88:T88"/>
    <mergeCell ref="F87:H87"/>
    <mergeCell ref="I87:J87"/>
    <mergeCell ref="K87:L87"/>
    <mergeCell ref="M87:N87"/>
    <mergeCell ref="O87:P87"/>
    <mergeCell ref="Q87:R87"/>
    <mergeCell ref="S85:T85"/>
    <mergeCell ref="F86:H86"/>
    <mergeCell ref="I86:J86"/>
    <mergeCell ref="K86:L86"/>
    <mergeCell ref="M86:N86"/>
    <mergeCell ref="O86:P86"/>
    <mergeCell ref="Q86:R86"/>
    <mergeCell ref="S86:T86"/>
    <mergeCell ref="F85:H85"/>
    <mergeCell ref="I85:J85"/>
    <mergeCell ref="K85:L85"/>
    <mergeCell ref="M85:N85"/>
    <mergeCell ref="O85:P85"/>
    <mergeCell ref="Q85:R85"/>
    <mergeCell ref="S83:T83"/>
    <mergeCell ref="F84:H84"/>
    <mergeCell ref="I84:J84"/>
    <mergeCell ref="K84:L84"/>
    <mergeCell ref="M84:N84"/>
    <mergeCell ref="O84:P84"/>
    <mergeCell ref="Q84:R84"/>
    <mergeCell ref="S84:T84"/>
    <mergeCell ref="F83:H83"/>
    <mergeCell ref="I83:J83"/>
    <mergeCell ref="K83:L83"/>
    <mergeCell ref="M83:N83"/>
    <mergeCell ref="O83:P83"/>
    <mergeCell ref="Q83:R83"/>
    <mergeCell ref="Q81:R81"/>
    <mergeCell ref="S81:T81"/>
    <mergeCell ref="I82:J82"/>
    <mergeCell ref="K82:L82"/>
    <mergeCell ref="M82:N82"/>
    <mergeCell ref="O82:P82"/>
    <mergeCell ref="Q82:R82"/>
    <mergeCell ref="S82:T82"/>
    <mergeCell ref="E80:E81"/>
    <mergeCell ref="F80:H80"/>
    <mergeCell ref="I80:L80"/>
    <mergeCell ref="M80:P80"/>
    <mergeCell ref="Q80:T80"/>
    <mergeCell ref="F81:H81"/>
    <mergeCell ref="I81:J81"/>
    <mergeCell ref="K81:L81"/>
    <mergeCell ref="M81:N81"/>
    <mergeCell ref="O81:P81"/>
    <mergeCell ref="Q78:R78"/>
    <mergeCell ref="S78:T78"/>
    <mergeCell ref="F79:G79"/>
    <mergeCell ref="I79:J79"/>
    <mergeCell ref="M79:N79"/>
    <mergeCell ref="Q79:R79"/>
    <mergeCell ref="R74:T74"/>
    <mergeCell ref="F77:G77"/>
    <mergeCell ref="I77:J77"/>
    <mergeCell ref="M77:N77"/>
    <mergeCell ref="Q77:R77"/>
    <mergeCell ref="F78:H78"/>
    <mergeCell ref="I78:J78"/>
    <mergeCell ref="K78:L78"/>
    <mergeCell ref="M78:N78"/>
    <mergeCell ref="O78:P78"/>
    <mergeCell ref="F71:G71"/>
    <mergeCell ref="I71:J71"/>
    <mergeCell ref="M71:N71"/>
    <mergeCell ref="Q71:R71"/>
    <mergeCell ref="G72:H76"/>
    <mergeCell ref="J72:L72"/>
    <mergeCell ref="N72:P72"/>
    <mergeCell ref="R72:T72"/>
    <mergeCell ref="J74:L74"/>
    <mergeCell ref="N74:P74"/>
    <mergeCell ref="J66:L66"/>
    <mergeCell ref="N66:P66"/>
    <mergeCell ref="R66:T66"/>
    <mergeCell ref="J68:L68"/>
    <mergeCell ref="N68:P68"/>
    <mergeCell ref="R68:T68"/>
    <mergeCell ref="F61:H61"/>
    <mergeCell ref="F62:H62"/>
    <mergeCell ref="F63:H63"/>
    <mergeCell ref="F64:G64"/>
    <mergeCell ref="F65:H65"/>
    <mergeCell ref="G66:H70"/>
    <mergeCell ref="F28:H28"/>
    <mergeCell ref="G29:G36"/>
    <mergeCell ref="G38:G45"/>
    <mergeCell ref="E49:G49"/>
    <mergeCell ref="F52:G52"/>
    <mergeCell ref="E60:G60"/>
    <mergeCell ref="S15:T15"/>
    <mergeCell ref="F16:G16"/>
    <mergeCell ref="J26:L26"/>
    <mergeCell ref="N26:P26"/>
    <mergeCell ref="R26:T26"/>
    <mergeCell ref="F27:G27"/>
    <mergeCell ref="F15:G15"/>
    <mergeCell ref="I15:J15"/>
    <mergeCell ref="K15:L15"/>
    <mergeCell ref="M15:N15"/>
    <mergeCell ref="O15:P15"/>
    <mergeCell ref="Q15:R15"/>
    <mergeCell ref="E12:H12"/>
    <mergeCell ref="I12:L12"/>
    <mergeCell ref="M12:P12"/>
    <mergeCell ref="Q12:T12"/>
    <mergeCell ref="E13:H13"/>
    <mergeCell ref="E14:H14"/>
    <mergeCell ref="S3:T3"/>
    <mergeCell ref="G6:I6"/>
    <mergeCell ref="E8:H8"/>
    <mergeCell ref="E9:H9"/>
    <mergeCell ref="E11:H11"/>
    <mergeCell ref="I11:L11"/>
    <mergeCell ref="M11:P11"/>
    <mergeCell ref="Q11:T11"/>
    <mergeCell ref="E10:H10"/>
  </mergeCells>
  <dataValidations count="66">
    <dataValidation imeMode="halfAlpha" allowBlank="1" showInputMessage="1" showErrorMessage="1" promptTitle="初品サンプル到着可能日" prompt="引合見積の場合は、初品サンプル到着可能日を必ず入力して下さい。" sqref="I112:I113 M112:M113"/>
    <dataValidation imeMode="halfAlpha" allowBlank="1" showInputMessage="1" showErrorMessage="1" promptTitle="型完予定日" prompt="引合見積の場合は、型完予定日を必ず入力して下さい" sqref="I111 M111"/>
    <dataValidation type="list" allowBlank="1" showInputMessage="1" showErrorMessage="1" sqref="H27">
      <formula1>"USD/pcs,USD/1000,IDN/pcs,IDN/1000,ZAR/pcs,ZAR/1000,INR/pcs,INR/1000,ARS/pcs,ARS/1000"</formula1>
    </dataValidation>
    <dataValidation imeMode="off" allowBlank="1" showInputMessage="1" showErrorMessage="1" promptTitle="カートンサイズ" prompt="外装のカートンサイズを入力して下さい_x000a_縦*横*高さ" sqref="I80:T80"/>
    <dataValidation imeMode="off" allowBlank="1" showInputMessage="1" showErrorMessage="1" promptTitle="内装数" prompt="内装数を入力して下さい_x000a_(例)1袋にバラ入れで10個、ダンボールに4袋の場合_x000a_→&quot;10&quot;" sqref="I81:J81 Q81:R81 M81:N81"/>
    <dataValidation imeMode="off" allowBlank="1" showInputMessage="1" showErrorMessage="1" promptTitle="外装数" prompt="外装数を入力して下さい_x000a_(例1)1袋にバラ入れで10個、ダンボールに4袋の場合_x000a_→&quot;4&quot;" sqref="K81:L81 S81:T81 O81:P81"/>
    <dataValidation imeMode="on" allowBlank="1" showInputMessage="1" showErrorMessage="1" promptTitle="通信欄" prompt="コメントのある場合はこちらに入力して下さい" sqref="I114:T114"/>
    <dataValidation imeMode="off" allowBlank="1" showInputMessage="1" showErrorMessage="1" sqref="U9:Y10 J8:L8 J72 I29:K36 I38:K45 R76 R8:Y8 Q93:Q95 R72 J52:K59 Q29:S36 Q38:S45 I71:J71 R52:S59 J66 L69 J70 T75:Y75 Q71:R71 I77:J77 L75 J76 T69:Y69 R66 R70 Q77:R77 I93:I95 U81:Y81 N8:P8 N72 M29:O36 M38:O45 N52:O59 M71:N71 N66 P69 N70 M77:N77 P75 N76 M93:M95"/>
    <dataValidation imeMode="on" allowBlank="1" showInputMessage="1" showErrorMessage="1" sqref="U114:Y114"/>
    <dataValidation allowBlank="1" showInputMessage="1" showErrorMessage="1" promptTitle="回答納期" prompt="引合見積の場合は、回答納期を必ず入力して下さい" sqref="Q111:T112"/>
    <dataValidation allowBlank="1" showInputMessage="1" showErrorMessage="1" promptTitle="㊟" prompt="数式が入っています" sqref="Q78:R78 Q63:S63 Q96 Q101 L29 Q64 Q49 I37 T52:Y59 I78:J78 I63:K63 I96 I101 L52:L59 I64 S65 Q46 Q79 I49 K65 I46 I79 T29 Q37 P29 M37 M78:N78 M63:O63 M96 M101 P52:P59 M64 M49 O65 M46 M79"/>
    <dataValidation allowBlank="1" showInputMessage="1" showErrorMessage="1" promptTitle="構成部品費の入力" prompt="構成部品費を　「自家調達」と「購入部品」の欄にわけて入力して下さい_x000a_&quot;金額　(円/個)&quot;のセルには数式が入っています" sqref="F28:H28"/>
    <dataValidation allowBlank="1" showInputMessage="1" showErrorMessage="1" promptTitle="自家調達" prompt="自社生産部品を入力して下さい" sqref="G29:G36"/>
    <dataValidation allowBlank="1" showInputMessage="1" showErrorMessage="1" promptTitle="購入部品" prompt="購入部品を入力して下さい" sqref="G38:G45"/>
    <dataValidation allowBlank="1" showInputMessage="1" showErrorMessage="1" promptTitle="加工費の入力" prompt="加工工程毎に加工費を入力、検査工程がある場合は、「10」に検査費用の合計を入力して下さい" sqref="F52:G52"/>
    <dataValidation imeMode="off" allowBlank="1" showInputMessage="1" showErrorMessage="1" promptTitle="面数" prompt="面数を入力して下さい(半角数字)" sqref="J50 R50 N50"/>
    <dataValidation allowBlank="1" showInputMessage="1" showErrorMessage="1" promptTitle="管理費" prompt="管理費の配賦率を入力して下さい_x000a_「金額」には計算式が入っています。" sqref="E61"/>
    <dataValidation imeMode="halfAlpha" allowBlank="1" showInputMessage="1" showErrorMessage="1" sqref="J65 Q3 K9:K10 S9:S10 R65 N65 O9:O10"/>
    <dataValidation imeMode="off" allowBlank="1" showInputMessage="1" showErrorMessage="1" promptTitle="日本逆輸入価格の記入" prompt="日本逆輸入の見積価格を入力して下さい" sqref="I105 Q105 M105"/>
    <dataValidation allowBlank="1" showInputMessage="1" showErrorMessage="1" promptTitle="その他" prompt="管理費の発生するその他の材料は、こちらに項目と金額を入力して下さい" sqref="F47"/>
    <dataValidation allowBlank="1" showInputMessage="1" showErrorMessage="1" promptTitle="その他" prompt="管理費を計上せず、工場出しまでに発生するその他の費用は、こちらに項目と金額を入力して下さい。" sqref="E93"/>
    <dataValidation allowBlank="1" showInputMessage="1" showErrorMessage="1" promptTitle="見積単価　（日本逆輸入）" prompt="日本逆輸入価格の見積の場合はこの欄に1個あたりの円価格を記入して下さい。" sqref="E105:G105"/>
    <dataValidation allowBlank="1" showInputMessage="1" showErrorMessage="1" promptTitle="作業名/機械名" prompt="作業名と機械名を入力して下さい_x000a_(例）_x000a_インサート成形/200t　、ｸﾘｯﾌﾟASSY" sqref="I52 Q52 M52"/>
    <dataValidation imeMode="off" allowBlank="1" showInputMessage="1" showErrorMessage="1" promptTitle="パーセンテージ" prompt="それぞれの項目に対する管理費の配賦率を入力して下さい" sqref="I62:K62 Q62:S62 M62:O62"/>
    <dataValidation allowBlank="1" showInputMessage="1" showErrorMessage="1" promptTitle="その他" prompt="左記以外に管理費・利益が発生する場合はこの行に入力して下さい。" sqref="L61 T61 P61"/>
    <dataValidation allowBlank="1" showInputMessage="1" showErrorMessage="1" promptTitle="㊟" prompt="計算式が入っています" sqref="I104 Q27 I27 Q104 M104 M27"/>
    <dataValidation imeMode="off" allowBlank="1" showInputMessage="1" showErrorMessage="1" promptTitle="最大生産能力" prompt="各品番の最大生産能力（個/月）を入力して下さい" sqref="I106 Q106 M106"/>
    <dataValidation imeMode="off" allowBlank="1" showErrorMessage="1" promptTitle="面数" prompt="面数を入力して下さい(半角数字)" sqref="L50 T50:Y50 P50"/>
    <dataValidation allowBlank="1" showInputMessage="1" showErrorMessage="1" promptTitle="㊟" prompt="数式が入っています。_x000a_右隣のセルに増値税の税率（％）を入力して下さい" sqref="I102 Q102 M102"/>
    <dataValidation allowBlank="1" showInputMessage="1" showErrorMessage="1" promptTitle="㊟!!" prompt="数式が入っています。" sqref="K78:L78 S78:Y78 O78:P78"/>
    <dataValidation allowBlank="1" showInputMessage="1" showErrorMessage="1" promptTitle="共用・流用部品品番の入力" prompt="金型もしくは治具を共用・流用する場合、共用する部品もしくは流用元になる部品の品番を入力して下さい" sqref="J68:L68 J74:L74 R68:T68 R74:T74 N68:P68 N74:P74"/>
    <dataValidation allowBlank="1" showErrorMessage="1" promptTitle="共用・流用部品品番の入力" prompt="金型もしくは治具を共用・流用する場合、共用する部品もしくは流用元になる部品の品番を入力して下さい" sqref="U74:Y74 U68:Y68"/>
    <dataValidation allowBlank="1" showInputMessage="1" showErrorMessage="1" promptTitle="管理費を計上する「その他」" prompt="管理費を計上する、「その他の材料」が発生する場合は左のセルに項目を入力し、このセルに金額を入力して下さい" sqref="I47 Q47 M47"/>
    <dataValidation operator="equal" allowBlank="1" showInputMessage="1" showErrorMessage="1" error="変更・削除しないで下さい！" sqref="L71 L77 T77:Y77 T71:Y71 P71 P77"/>
    <dataValidation allowBlank="1" showInputMessage="1" showErrorMessage="1" promptTitle="直接材料の入力" prompt="インサート成形等、ASSYで直接材料が発生する場合、この欄に入力して下さい" sqref="F15:F17"/>
    <dataValidation imeMode="off" allowBlank="1" showInputMessage="1" showErrorMessage="1" promptTitle="部品品番" prompt="部品品番を入力して下さい" sqref="I9:I10 Q9:Q10 M9:M10"/>
    <dataValidation imeMode="off" allowBlank="1" showInputMessage="1" showErrorMessage="1" promptTitle="Ctrl. No." prompt="見積依頼のコントロールNo.入力して下さい(半角英数)" sqref="I8 Q8 M8"/>
    <dataValidation imeMode="off" allowBlank="1" showInputMessage="1" showErrorMessage="1" promptTitle="見積基準数量" prompt="【量産の場合】　見積基準数量を入力して下さい_x000a_【試作の場合】　左のセルでリストから「個/試作(n)」を選択し、試作数量を入力して下さい。" sqref="I14 Q14 M14"/>
    <dataValidation allowBlank="1" showInputMessage="1" showErrorMessage="1" promptTitle="材料名" prompt="材料名を入力して下さい_x000a_(例)_x000a_PP、PBT" sqref="J17 T17:Y17 R17 L17 N17 P17"/>
    <dataValidation allowBlank="1" showInputMessage="1" showErrorMessage="1" promptTitle="材料グレード" prompt="材料グレードを入力して下さい_x000a_(例)_x000a_J750HP, C426B" sqref="L18 T18:Y18 R18 J18 P18 N18"/>
    <dataValidation allowBlank="1" showInputMessage="1" showErrorMessage="1" promptTitle="為替レート" prompt="見積計算時の為替レートを入力して下さい" sqref="L14 T14 P14"/>
    <dataValidation allowBlank="1" showInputMessage="1" showErrorMessage="1" promptTitle="部品名　(仕様)　の入力" prompt="1つのASSY品番に対して、材料や構成部品等で複数の組合せパターンや加工方法がある場合は、こちらに入力して下さい。_x000a_(例)_x000a_X30854-0001：ザイロン　X30814-0002：2ケ取り、_x000a_カラー圧入_x000a_等" sqref="I12:T12"/>
    <dataValidation allowBlank="1" showInputMessage="1" showErrorMessage="1" promptTitle="材料コード" prompt="支給材料を使用の際には材料コードを記載ください" sqref="J19 T19:Y19 R19 L19 N19 P19"/>
    <dataValidation imeMode="off" allowBlank="1" showInputMessage="1" showErrorMessage="1" promptTitle="見積基準数量の入力" prompt="【量産の場合】　見積基準数量を入力して下さい_x000a_【試作の場合】　左のセルでリストから「個/試作(n)」を選択し、試作数量を入力して下さい。" sqref="I15 Q15 M15"/>
    <dataValidation allowBlank="1" showInputMessage="1" showErrorMessage="1" promptTitle="MB配合比率" prompt="マスターバッチの配合比率を記載ください" sqref="J21 T21:Y21 R21 L21 N21 P21"/>
    <dataValidation allowBlank="1" showInputMessage="1" showErrorMessage="1" promptTitle="ロス込重量" prompt="ロス込重量を記載ください" sqref="L25 T25:Y25 R25 J25 P25 N25"/>
    <dataValidation allowBlank="1" showInputMessage="1" showErrorMessage="1" promptTitle="正味重量" prompt="製品の重量を記載ください" sqref="J24 T23:Y24 R24 L23:L24 N24 P23:P24"/>
    <dataValidation allowBlank="1" showInputMessage="1" showErrorMessage="1" promptTitle="サイズ" prompt="金属材のサイズを記載ください" sqref="J26 R26 N26"/>
    <dataValidation imeMode="off" allowBlank="1" showInputMessage="1" showErrorMessage="1" promptTitle="正味重量" prompt="部品の正味重量を入力して下さい" sqref="J23 R23 N23"/>
    <dataValidation type="list" allowBlank="1" showInputMessage="1" showErrorMessage="1" promptTitle="償却方法の入力" prompt="金型・治具の償却方法をプルダウンリストより選択_x000a_「型込」・「治具費のみ型込」の場合は隣のセルに償却月数を入力して下さい" sqref="I65 Q65 M65">
      <formula1>$AE$3:$AE$5</formula1>
    </dataValidation>
    <dataValidation type="list" allowBlank="1" showInputMessage="1" showErrorMessage="1" promptTitle="取引条件の入力" prompt="取引条件をプルダウンリストより選択してください" sqref="I103 M103 Q103">
      <formula1>$AJ$3:$AJ$11</formula1>
    </dataValidation>
    <dataValidation type="list" allowBlank="1" showInputMessage="1" showErrorMessage="1" promptTitle="港" prompt="仕向地をプルダウンリストより選択して下さい" sqref="J103 N103 R103">
      <formula1>$AK$3:$AK$30</formula1>
    </dataValidation>
    <dataValidation type="list" allowBlank="1" showInputMessage="1" showErrorMessage="1" promptTitle="増値税" prompt="中国生産で、増値税の課税対象になる見積の場合は、プルダウンリストから選択して下さい" sqref="E102:G102">
      <formula1>$AL$3</formula1>
    </dataValidation>
    <dataValidation type="list" allowBlank="1" showInputMessage="1" showErrorMessage="1" sqref="U70:Y70 U76:Y76">
      <formula1>$AI$3:$AI$31</formula1>
    </dataValidation>
    <dataValidation type="list" allowBlank="1" showInputMessage="1" showErrorMessage="1" promptTitle="項目" prompt="プルダウンリストから選択して下さい_x000a_「共用」の場合は、更に右のセルのプルダウンリストからも選択して下さい" sqref="J67 N73 N67 R73 R67 J73">
      <formula1>$AF$3:$AF$11</formula1>
    </dataValidation>
    <dataValidation type="list" allowBlank="1" showInputMessage="1" showErrorMessage="1" promptTitle="型共用" prompt="プルダウンリストから選択して下さい" sqref="K67 O73 O67 S73 S67 K73">
      <formula1>$AG$3:$AG$11</formula1>
    </dataValidation>
    <dataValidation type="list" allowBlank="1" showInputMessage="1" showErrorMessage="1" promptTitle="型仕様" prompt="型仕様を選択して下さい_x000a_「その他」を選択した場合は、通信欄に詳細を記入して下さい" sqref="J69 N75 N69 R75 R69 J75">
      <formula1>$AH$3:$AH$37</formula1>
    </dataValidation>
    <dataValidation type="list" allowBlank="1" showInputMessage="1" showErrorMessage="1" promptTitle="金型起工国" prompt="金型の起工国をプルダウンリストより選択して下さい" sqref="L70 P76 P70 T76 T70 L76">
      <formula1>$AI$3:$AI$31</formula1>
    </dataValidation>
    <dataValidation type="list" allowBlank="1" showInputMessage="1" showErrorMessage="1" promptTitle="納入先の入力" prompt="納入先をプルダウンリストから選択して下さい" sqref="I13 M13 Q13">
      <formula1>$Z$3:$Z$75</formula1>
    </dataValidation>
    <dataValidation type="list" allowBlank="1" showInputMessage="1" showErrorMessage="1" sqref="R14 J14 N14">
      <formula1>$AA$3</formula1>
    </dataValidation>
    <dataValidation type="list" allowBlank="1" showInputMessage="1" showErrorMessage="1" promptTitle="見積通貨の選択" prompt="通貨を選択して下さい" sqref="L13 P13 T13">
      <formula1>$AD$3:$AD$19</formula1>
    </dataValidation>
    <dataValidation type="list" allowBlank="1" showInputMessage="1" showErrorMessage="1" sqref="U13:Y13">
      <formula1>$AD$3:$AD$19</formula1>
    </dataValidation>
    <dataValidation type="list" allowBlank="1" showInputMessage="1" showErrorMessage="1" promptTitle="材料調達区分の選択" prompt="材料の調達方法をプルダウンリストから選択して下さい_x000a_「支給」…矢崎支給_x000a_「自家」…自家調達_x000a_" sqref="J16 L16 T16:Y16 R16 N16 P16">
      <formula1>$AB$3:$AB$4</formula1>
    </dataValidation>
    <dataValidation type="list" allowBlank="1" showInputMessage="1" showErrorMessage="1" promptTitle="色" prompt="プルダウンリストより色を選択して下さい" sqref="J20 P20 N20 R20 T20:Y20 L20">
      <formula1>$AC$5:$AC$21</formula1>
    </dataValidation>
    <dataValidation allowBlank="1" showInputMessage="1" showErrorMessage="1" promptTitle="サンプル着日" prompt="引合見積の場合は、初品納期を必ず入力して下さい。" sqref="R107:T110 J107:L110 Q113:T113 N107:P110"/>
    <dataValidation allowBlank="1" showInputMessage="1" showErrorMessage="1" promptTitle="4M調査" prompt="国名をご入力下さい。" sqref="I107:I110 Q107:Q110 M107:M110"/>
  </dataValidations>
  <printOptions horizontalCentered="1" verticalCentered="1"/>
  <pageMargins left="0" right="0" top="0" bottom="0" header="0" footer="0"/>
  <pageSetup paperSize="9" scale="36" orientation="portrait" r:id="rId1"/>
  <headerFooter alignWithMargins="0"/>
  <rowBreaks count="1" manualBreakCount="1">
    <brk id="79" min="4" max="1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mdSend">
                <anchor moveWithCells="1" sizeWithCells="1">
                  <from>
                    <xdr:col>10</xdr:col>
                    <xdr:colOff>0</xdr:colOff>
                    <xdr:row>0</xdr:row>
                    <xdr:rowOff>180975</xdr:rowOff>
                  </from>
                  <to>
                    <xdr:col>11</xdr:col>
                    <xdr:colOff>9525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D53"/>
  <sheetViews>
    <sheetView workbookViewId="0">
      <selection activeCell="B25" sqref="B25"/>
    </sheetView>
  </sheetViews>
  <sheetFormatPr defaultRowHeight="13.5"/>
  <cols>
    <col min="1" max="1" width="3.25" customWidth="1"/>
    <col min="2" max="2" width="32.125" customWidth="1"/>
    <col min="3" max="3" width="4.625" style="32" customWidth="1"/>
    <col min="4" max="4" width="31.875" customWidth="1"/>
  </cols>
  <sheetData>
    <row r="2" spans="2:4">
      <c r="B2" s="757" t="s">
        <v>309</v>
      </c>
      <c r="C2" s="757"/>
      <c r="D2" s="757"/>
    </row>
    <row r="3" spans="2:4" ht="18.75" customHeight="1">
      <c r="B3" s="453" t="s">
        <v>310</v>
      </c>
      <c r="C3" s="453" t="s">
        <v>311</v>
      </c>
      <c r="D3" s="453" t="s">
        <v>312</v>
      </c>
    </row>
    <row r="4" spans="2:4" ht="15">
      <c r="B4" s="456" t="s">
        <v>313</v>
      </c>
      <c r="C4" s="457" t="s">
        <v>412</v>
      </c>
      <c r="D4" s="458" t="s">
        <v>314</v>
      </c>
    </row>
    <row r="5" spans="2:4" ht="15">
      <c r="B5" s="456" t="s">
        <v>315</v>
      </c>
      <c r="C5" s="457" t="s">
        <v>411</v>
      </c>
      <c r="D5" s="458" t="s">
        <v>316</v>
      </c>
    </row>
    <row r="6" spans="2:4" ht="15">
      <c r="B6" s="456" t="s">
        <v>317</v>
      </c>
      <c r="C6" s="457" t="s">
        <v>413</v>
      </c>
      <c r="D6" s="458" t="s">
        <v>414</v>
      </c>
    </row>
    <row r="7" spans="2:4" ht="15">
      <c r="B7" s="456" t="s">
        <v>318</v>
      </c>
      <c r="C7" s="457" t="s">
        <v>412</v>
      </c>
      <c r="D7" s="458" t="s">
        <v>319</v>
      </c>
    </row>
    <row r="8" spans="2:4" ht="15">
      <c r="B8" s="456" t="s">
        <v>321</v>
      </c>
      <c r="C8" s="457" t="s">
        <v>415</v>
      </c>
      <c r="D8" s="458"/>
    </row>
    <row r="9" spans="2:4" ht="15">
      <c r="B9" s="456" t="s">
        <v>322</v>
      </c>
      <c r="C9" s="457"/>
      <c r="D9" s="458"/>
    </row>
    <row r="10" spans="2:4" ht="15">
      <c r="B10" s="456" t="s">
        <v>323</v>
      </c>
      <c r="C10" s="457" t="s">
        <v>436</v>
      </c>
      <c r="D10" s="458" t="s">
        <v>417</v>
      </c>
    </row>
    <row r="11" spans="2:4" ht="15">
      <c r="B11" s="456" t="s">
        <v>387</v>
      </c>
      <c r="C11" s="457" t="s">
        <v>418</v>
      </c>
      <c r="D11" s="458" t="s">
        <v>324</v>
      </c>
    </row>
    <row r="12" spans="2:4" ht="15">
      <c r="B12" s="456" t="s">
        <v>388</v>
      </c>
      <c r="C12" s="457" t="s">
        <v>437</v>
      </c>
      <c r="D12" s="458" t="s">
        <v>419</v>
      </c>
    </row>
    <row r="13" spans="2:4" ht="15">
      <c r="B13" s="456" t="s">
        <v>325</v>
      </c>
      <c r="C13" s="457"/>
      <c r="D13" s="458"/>
    </row>
    <row r="14" spans="2:4" ht="15">
      <c r="B14" s="456" t="s">
        <v>326</v>
      </c>
      <c r="C14" s="457"/>
      <c r="D14" s="458"/>
    </row>
    <row r="15" spans="2:4" ht="15">
      <c r="B15" s="456" t="s">
        <v>327</v>
      </c>
      <c r="C15" s="457"/>
      <c r="D15" s="458"/>
    </row>
    <row r="16" spans="2:4" ht="15">
      <c r="B16" s="456" t="s">
        <v>328</v>
      </c>
      <c r="C16" s="457"/>
      <c r="D16" s="458"/>
    </row>
    <row r="17" spans="2:4" ht="15">
      <c r="B17" s="456" t="s">
        <v>329</v>
      </c>
      <c r="C17" s="457"/>
      <c r="D17" s="458"/>
    </row>
    <row r="18" spans="2:4" ht="15">
      <c r="B18" s="456" t="s">
        <v>330</v>
      </c>
      <c r="C18" s="457"/>
      <c r="D18" s="458"/>
    </row>
    <row r="19" spans="2:4" ht="15">
      <c r="B19" s="456" t="s">
        <v>331</v>
      </c>
      <c r="C19" s="457"/>
      <c r="D19" s="458"/>
    </row>
    <row r="20" spans="2:4" ht="15">
      <c r="B20" s="456" t="s">
        <v>389</v>
      </c>
      <c r="C20" s="457"/>
      <c r="D20" s="458"/>
    </row>
    <row r="21" spans="2:4" ht="15">
      <c r="B21" s="456" t="s">
        <v>390</v>
      </c>
      <c r="C21" s="457"/>
      <c r="D21" s="458"/>
    </row>
    <row r="22" spans="2:4" ht="15">
      <c r="B22" s="456" t="s">
        <v>391</v>
      </c>
      <c r="C22" s="457"/>
      <c r="D22" s="458"/>
    </row>
    <row r="23" spans="2:4" ht="15">
      <c r="B23" s="456" t="s">
        <v>332</v>
      </c>
      <c r="C23" s="457"/>
      <c r="D23" s="458"/>
    </row>
    <row r="24" spans="2:4" ht="15">
      <c r="B24" s="456" t="s">
        <v>333</v>
      </c>
      <c r="C24" s="457"/>
      <c r="D24" s="458"/>
    </row>
    <row r="25" spans="2:4" ht="15">
      <c r="B25" s="456" t="s">
        <v>334</v>
      </c>
      <c r="C25" s="457"/>
      <c r="D25" s="458"/>
    </row>
    <row r="26" spans="2:4" ht="15">
      <c r="B26" s="456" t="s">
        <v>335</v>
      </c>
      <c r="C26" s="457"/>
      <c r="D26" s="458"/>
    </row>
    <row r="27" spans="2:4" ht="15">
      <c r="B27" s="456" t="s">
        <v>336</v>
      </c>
      <c r="C27" s="457" t="s">
        <v>438</v>
      </c>
      <c r="D27" s="458" t="s">
        <v>337</v>
      </c>
    </row>
    <row r="28" spans="2:4" ht="15">
      <c r="B28" s="456" t="s">
        <v>338</v>
      </c>
      <c r="C28" s="457" t="s">
        <v>439</v>
      </c>
      <c r="D28" s="458" t="s">
        <v>421</v>
      </c>
    </row>
    <row r="29" spans="2:4" ht="15">
      <c r="B29" s="456" t="s">
        <v>392</v>
      </c>
      <c r="C29" s="457" t="s">
        <v>440</v>
      </c>
      <c r="D29" s="458" t="s">
        <v>422</v>
      </c>
    </row>
    <row r="30" spans="2:4" ht="15">
      <c r="B30" s="456" t="s">
        <v>393</v>
      </c>
      <c r="C30" s="457"/>
      <c r="D30" s="458"/>
    </row>
    <row r="31" spans="2:4" ht="15">
      <c r="B31" s="456" t="s">
        <v>394</v>
      </c>
      <c r="C31" s="457"/>
      <c r="D31" s="458"/>
    </row>
    <row r="32" spans="2:4" ht="15">
      <c r="B32" s="456" t="s">
        <v>340</v>
      </c>
      <c r="C32" s="457"/>
      <c r="D32" s="458"/>
    </row>
    <row r="33" spans="2:4" ht="15">
      <c r="B33" s="456" t="s">
        <v>395</v>
      </c>
      <c r="C33" s="457"/>
      <c r="D33" s="458"/>
    </row>
    <row r="34" spans="2:4" ht="15">
      <c r="B34" s="456" t="s">
        <v>396</v>
      </c>
      <c r="C34" s="457"/>
      <c r="D34" s="458"/>
    </row>
    <row r="35" spans="2:4" ht="15">
      <c r="B35" s="456" t="s">
        <v>397</v>
      </c>
      <c r="C35" s="457"/>
      <c r="D35" s="458"/>
    </row>
    <row r="36" spans="2:4" ht="15">
      <c r="B36" s="456" t="s">
        <v>398</v>
      </c>
      <c r="C36" s="457"/>
      <c r="D36" s="458"/>
    </row>
    <row r="37" spans="2:4" ht="15">
      <c r="B37" s="456" t="s">
        <v>341</v>
      </c>
      <c r="C37" s="457"/>
      <c r="D37" s="458"/>
    </row>
    <row r="38" spans="2:4" ht="15">
      <c r="B38" s="456" t="s">
        <v>342</v>
      </c>
      <c r="C38" s="457"/>
      <c r="D38" s="458"/>
    </row>
    <row r="39" spans="2:4" ht="15">
      <c r="B39" s="456" t="s">
        <v>343</v>
      </c>
      <c r="C39" s="457"/>
      <c r="D39" s="458"/>
    </row>
    <row r="40" spans="2:4" ht="15">
      <c r="B40" s="456" t="s">
        <v>344</v>
      </c>
      <c r="C40" s="457"/>
      <c r="D40" s="458"/>
    </row>
    <row r="41" spans="2:4" ht="15">
      <c r="B41" s="456" t="s">
        <v>345</v>
      </c>
      <c r="C41" s="457"/>
      <c r="D41" s="458"/>
    </row>
    <row r="42" spans="2:4" ht="15">
      <c r="B42" s="456" t="s">
        <v>346</v>
      </c>
      <c r="C42" s="457"/>
      <c r="D42" s="458"/>
    </row>
    <row r="43" spans="2:4" ht="15">
      <c r="B43" s="456" t="s">
        <v>347</v>
      </c>
      <c r="C43" s="457"/>
      <c r="D43" s="458"/>
    </row>
    <row r="44" spans="2:4" ht="15">
      <c r="B44" s="456" t="s">
        <v>348</v>
      </c>
      <c r="C44" s="457"/>
      <c r="D44" s="458"/>
    </row>
    <row r="45" spans="2:4" ht="15">
      <c r="B45" s="456" t="s">
        <v>349</v>
      </c>
      <c r="C45" s="457"/>
      <c r="D45" s="458"/>
    </row>
    <row r="46" spans="2:4" ht="15">
      <c r="B46" s="456" t="s">
        <v>350</v>
      </c>
      <c r="C46" s="457"/>
      <c r="D46" s="458"/>
    </row>
    <row r="47" spans="2:4" ht="15">
      <c r="B47" s="456" t="s">
        <v>399</v>
      </c>
      <c r="C47" s="457"/>
      <c r="D47" s="458"/>
    </row>
    <row r="48" spans="2:4" ht="15">
      <c r="B48" s="456" t="s">
        <v>400</v>
      </c>
      <c r="C48" s="457"/>
      <c r="D48" s="458"/>
    </row>
    <row r="49" spans="2:4" ht="15">
      <c r="B49" s="456" t="s">
        <v>401</v>
      </c>
      <c r="C49" s="457"/>
      <c r="D49" s="458"/>
    </row>
    <row r="50" spans="2:4" ht="15">
      <c r="B50" s="456" t="s">
        <v>402</v>
      </c>
      <c r="C50" s="457"/>
      <c r="D50" s="458"/>
    </row>
    <row r="51" spans="2:4" ht="15">
      <c r="B51" s="456" t="s">
        <v>403</v>
      </c>
      <c r="C51" s="457"/>
      <c r="D51" s="458"/>
    </row>
    <row r="52" spans="2:4" ht="15">
      <c r="B52" s="456" t="s">
        <v>404</v>
      </c>
      <c r="C52" s="457"/>
      <c r="D52" s="458"/>
    </row>
    <row r="53" spans="2:4" ht="15">
      <c r="B53" s="456" t="s">
        <v>405</v>
      </c>
      <c r="C53" s="457"/>
      <c r="D53" s="458"/>
    </row>
  </sheetData>
  <mergeCells count="1">
    <mergeCell ref="B2:D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L43"/>
  <sheetViews>
    <sheetView topLeftCell="C1" workbookViewId="0">
      <selection activeCell="G25" sqref="G25"/>
    </sheetView>
  </sheetViews>
  <sheetFormatPr defaultRowHeight="13.5"/>
  <cols>
    <col min="1" max="1" width="1.625" customWidth="1"/>
    <col min="2" max="2" width="23.375" bestFit="1" customWidth="1"/>
    <col min="3" max="3" width="4.625" style="32" customWidth="1"/>
    <col min="4" max="4" width="20.875" customWidth="1"/>
    <col min="5" max="5" width="1.625" customWidth="1"/>
    <col min="6" max="6" width="18.25" bestFit="1" customWidth="1"/>
    <col min="7" max="7" width="4.875" style="32" customWidth="1"/>
    <col min="8" max="8" width="15.75" bestFit="1" customWidth="1"/>
    <col min="9" max="9" width="1.625" customWidth="1"/>
    <col min="10" max="10" width="20.75" bestFit="1" customWidth="1"/>
    <col min="11" max="11" width="4.875" style="32" customWidth="1"/>
    <col min="12" max="12" width="17.25" bestFit="1" customWidth="1"/>
  </cols>
  <sheetData>
    <row r="2" spans="2:12">
      <c r="B2" s="757" t="s">
        <v>423</v>
      </c>
      <c r="C2" s="757"/>
      <c r="D2" s="757"/>
      <c r="F2" s="757" t="s">
        <v>351</v>
      </c>
      <c r="G2" s="757"/>
      <c r="H2" s="757"/>
      <c r="J2" s="757" t="s">
        <v>352</v>
      </c>
      <c r="K2" s="757"/>
      <c r="L2" s="757"/>
    </row>
    <row r="3" spans="2:12" ht="18.75" customHeight="1">
      <c r="B3" s="453" t="s">
        <v>424</v>
      </c>
      <c r="C3" s="453" t="s">
        <v>311</v>
      </c>
      <c r="D3" s="453" t="s">
        <v>354</v>
      </c>
      <c r="F3" s="453" t="s">
        <v>353</v>
      </c>
      <c r="G3" s="453" t="s">
        <v>311</v>
      </c>
      <c r="H3" s="453" t="s">
        <v>354</v>
      </c>
      <c r="J3" s="453" t="s">
        <v>355</v>
      </c>
      <c r="K3" s="453" t="s">
        <v>311</v>
      </c>
      <c r="L3" s="453" t="s">
        <v>354</v>
      </c>
    </row>
    <row r="4" spans="2:12" ht="15">
      <c r="B4" s="456" t="s">
        <v>313</v>
      </c>
      <c r="C4" s="457" t="s">
        <v>412</v>
      </c>
      <c r="D4" s="458" t="s">
        <v>314</v>
      </c>
      <c r="F4" s="456" t="s">
        <v>313</v>
      </c>
      <c r="G4" s="457" t="s">
        <v>412</v>
      </c>
      <c r="H4" s="458" t="s">
        <v>314</v>
      </c>
      <c r="J4" s="456" t="s">
        <v>313</v>
      </c>
      <c r="K4" s="457" t="s">
        <v>412</v>
      </c>
      <c r="L4" s="458" t="s">
        <v>314</v>
      </c>
    </row>
    <row r="5" spans="2:12" ht="15">
      <c r="B5" s="456" t="s">
        <v>315</v>
      </c>
      <c r="C5" s="457" t="s">
        <v>411</v>
      </c>
      <c r="D5" s="458" t="s">
        <v>316</v>
      </c>
      <c r="F5" s="456" t="s">
        <v>315</v>
      </c>
      <c r="G5" s="457" t="s">
        <v>411</v>
      </c>
      <c r="H5" s="458" t="s">
        <v>316</v>
      </c>
      <c r="J5" s="456" t="s">
        <v>315</v>
      </c>
      <c r="K5" s="457" t="s">
        <v>411</v>
      </c>
      <c r="L5" s="458" t="s">
        <v>316</v>
      </c>
    </row>
    <row r="6" spans="2:12" ht="15">
      <c r="B6" s="456" t="s">
        <v>317</v>
      </c>
      <c r="C6" s="457" t="s">
        <v>413</v>
      </c>
      <c r="D6" s="458" t="s">
        <v>414</v>
      </c>
      <c r="F6" s="456" t="s">
        <v>317</v>
      </c>
      <c r="G6" s="457" t="s">
        <v>413</v>
      </c>
      <c r="H6" s="458" t="s">
        <v>414</v>
      </c>
      <c r="J6" s="456" t="s">
        <v>317</v>
      </c>
      <c r="K6" s="457" t="s">
        <v>413</v>
      </c>
      <c r="L6" s="458" t="s">
        <v>414</v>
      </c>
    </row>
    <row r="7" spans="2:12" ht="15">
      <c r="B7" s="456" t="s">
        <v>356</v>
      </c>
      <c r="C7" s="457" t="s">
        <v>441</v>
      </c>
      <c r="D7" s="458"/>
      <c r="F7" s="456" t="s">
        <v>356</v>
      </c>
      <c r="G7" s="457" t="s">
        <v>447</v>
      </c>
      <c r="H7" s="458"/>
      <c r="J7" s="456" t="s">
        <v>357</v>
      </c>
      <c r="K7" s="457" t="s">
        <v>432</v>
      </c>
      <c r="L7" s="458" t="s">
        <v>358</v>
      </c>
    </row>
    <row r="8" spans="2:12" ht="15">
      <c r="B8" s="456" t="s">
        <v>320</v>
      </c>
      <c r="C8" s="457" t="s">
        <v>442</v>
      </c>
      <c r="D8" s="458" t="s">
        <v>314</v>
      </c>
      <c r="F8" s="456" t="s">
        <v>359</v>
      </c>
      <c r="G8" s="457" t="s">
        <v>448</v>
      </c>
      <c r="H8" s="458" t="s">
        <v>429</v>
      </c>
      <c r="J8" s="456" t="s">
        <v>360</v>
      </c>
      <c r="K8" s="457" t="s">
        <v>454</v>
      </c>
      <c r="L8" s="458" t="s">
        <v>358</v>
      </c>
    </row>
    <row r="9" spans="2:12" ht="15">
      <c r="B9" s="456" t="s">
        <v>425</v>
      </c>
      <c r="C9" s="457"/>
      <c r="D9" s="458" t="s">
        <v>443</v>
      </c>
      <c r="F9" s="456" t="s">
        <v>362</v>
      </c>
      <c r="G9" s="457"/>
      <c r="H9" s="458" t="s">
        <v>449</v>
      </c>
      <c r="J9" s="456" t="s">
        <v>363</v>
      </c>
      <c r="K9" s="457" t="s">
        <v>433</v>
      </c>
      <c r="L9" s="458" t="s">
        <v>118</v>
      </c>
    </row>
    <row r="10" spans="2:12" ht="15">
      <c r="B10" s="456" t="s">
        <v>426</v>
      </c>
      <c r="C10" s="457" t="s">
        <v>444</v>
      </c>
      <c r="D10" s="458" t="s">
        <v>428</v>
      </c>
      <c r="F10" s="456" t="s">
        <v>364</v>
      </c>
      <c r="G10" s="457"/>
      <c r="H10" s="458" t="s">
        <v>449</v>
      </c>
      <c r="J10" s="456" t="s">
        <v>365</v>
      </c>
      <c r="K10" s="457" t="s">
        <v>420</v>
      </c>
      <c r="L10" s="458" t="s">
        <v>118</v>
      </c>
    </row>
    <row r="11" spans="2:12" ht="15">
      <c r="B11" s="456" t="s">
        <v>378</v>
      </c>
      <c r="C11" s="457" t="s">
        <v>445</v>
      </c>
      <c r="D11" s="458" t="s">
        <v>164</v>
      </c>
      <c r="F11" s="456" t="s">
        <v>367</v>
      </c>
      <c r="G11" s="457" t="s">
        <v>450</v>
      </c>
      <c r="H11" s="458" t="s">
        <v>430</v>
      </c>
      <c r="J11" s="456" t="s">
        <v>368</v>
      </c>
      <c r="K11" s="457" t="s">
        <v>434</v>
      </c>
      <c r="L11" s="458" t="s">
        <v>369</v>
      </c>
    </row>
    <row r="12" spans="2:12" ht="15">
      <c r="B12" s="456" t="s">
        <v>427</v>
      </c>
      <c r="C12" s="457" t="s">
        <v>446</v>
      </c>
      <c r="D12" s="458" t="s">
        <v>373</v>
      </c>
      <c r="F12" s="456" t="s">
        <v>370</v>
      </c>
      <c r="G12" s="457" t="s">
        <v>451</v>
      </c>
      <c r="H12" s="458" t="s">
        <v>431</v>
      </c>
      <c r="J12" s="456" t="s">
        <v>371</v>
      </c>
      <c r="K12" s="457" t="s">
        <v>455</v>
      </c>
      <c r="L12" s="458" t="s">
        <v>369</v>
      </c>
    </row>
    <row r="13" spans="2:12" ht="15">
      <c r="B13" s="456" t="s">
        <v>375</v>
      </c>
      <c r="C13" s="457"/>
      <c r="D13" s="458"/>
      <c r="F13" s="456" t="s">
        <v>372</v>
      </c>
      <c r="G13" s="457" t="s">
        <v>452</v>
      </c>
      <c r="H13" s="458" t="s">
        <v>373</v>
      </c>
      <c r="J13" s="456" t="s">
        <v>374</v>
      </c>
      <c r="K13" s="457" t="s">
        <v>456</v>
      </c>
      <c r="L13" s="458"/>
    </row>
    <row r="14" spans="2:12" ht="15">
      <c r="B14" s="456" t="s">
        <v>377</v>
      </c>
      <c r="C14" s="457"/>
      <c r="D14" s="458"/>
      <c r="F14" s="456" t="s">
        <v>375</v>
      </c>
      <c r="G14" s="457"/>
      <c r="H14" s="458"/>
      <c r="J14" s="456" t="s">
        <v>376</v>
      </c>
      <c r="K14" s="457" t="s">
        <v>457</v>
      </c>
      <c r="L14" s="458"/>
    </row>
    <row r="15" spans="2:12" ht="15">
      <c r="B15" s="459" t="s">
        <v>379</v>
      </c>
      <c r="C15" s="465"/>
      <c r="D15" s="460"/>
      <c r="F15" s="456" t="s">
        <v>377</v>
      </c>
      <c r="G15" s="457"/>
      <c r="H15" s="458"/>
      <c r="J15" s="456" t="s">
        <v>375</v>
      </c>
      <c r="K15" s="457"/>
      <c r="L15" s="458"/>
    </row>
    <row r="16" spans="2:12" ht="15">
      <c r="B16" s="463"/>
      <c r="C16" s="466"/>
      <c r="D16" s="464"/>
      <c r="F16" s="456" t="s">
        <v>379</v>
      </c>
      <c r="G16" s="457"/>
      <c r="H16" s="458"/>
      <c r="J16" s="456" t="s">
        <v>377</v>
      </c>
      <c r="K16" s="457"/>
      <c r="L16" s="458"/>
    </row>
    <row r="17" spans="2:12" ht="15">
      <c r="B17" s="461"/>
      <c r="C17" s="467"/>
      <c r="D17" s="462"/>
      <c r="J17" s="456" t="s">
        <v>379</v>
      </c>
      <c r="K17" s="457"/>
      <c r="L17" s="458"/>
    </row>
    <row r="18" spans="2:12">
      <c r="B18" s="454"/>
      <c r="C18" s="152"/>
      <c r="D18" s="455"/>
    </row>
    <row r="19" spans="2:12">
      <c r="B19" s="757" t="s">
        <v>406</v>
      </c>
      <c r="C19" s="757"/>
      <c r="D19" s="757"/>
      <c r="F19" s="757" t="s">
        <v>470</v>
      </c>
      <c r="G19" s="757"/>
      <c r="H19" s="757"/>
    </row>
    <row r="20" spans="2:12" ht="18.75" customHeight="1">
      <c r="B20" s="453" t="s">
        <v>416</v>
      </c>
      <c r="C20" s="453" t="s">
        <v>311</v>
      </c>
      <c r="D20" s="453" t="s">
        <v>354</v>
      </c>
      <c r="F20" s="453" t="s">
        <v>471</v>
      </c>
      <c r="G20" s="453" t="s">
        <v>311</v>
      </c>
      <c r="H20" s="453" t="s">
        <v>354</v>
      </c>
    </row>
    <row r="21" spans="2:12" ht="15">
      <c r="B21" s="456" t="s">
        <v>313</v>
      </c>
      <c r="C21" s="457" t="s">
        <v>412</v>
      </c>
      <c r="D21" s="458" t="s">
        <v>314</v>
      </c>
      <c r="F21" s="456" t="s">
        <v>313</v>
      </c>
      <c r="G21" s="457" t="s">
        <v>412</v>
      </c>
      <c r="H21" s="458" t="s">
        <v>314</v>
      </c>
    </row>
    <row r="22" spans="2:12" ht="15">
      <c r="B22" s="456" t="s">
        <v>315</v>
      </c>
      <c r="C22" s="457" t="s">
        <v>411</v>
      </c>
      <c r="D22" s="458" t="s">
        <v>316</v>
      </c>
      <c r="F22" s="456" t="s">
        <v>315</v>
      </c>
      <c r="G22" s="457" t="s">
        <v>411</v>
      </c>
      <c r="H22" s="458" t="s">
        <v>316</v>
      </c>
    </row>
    <row r="23" spans="2:12" ht="15">
      <c r="B23" s="456" t="s">
        <v>317</v>
      </c>
      <c r="C23" s="457" t="s">
        <v>413</v>
      </c>
      <c r="D23" s="458" t="s">
        <v>414</v>
      </c>
      <c r="F23" s="456" t="s">
        <v>317</v>
      </c>
      <c r="G23" s="457" t="s">
        <v>413</v>
      </c>
      <c r="H23" s="458" t="s">
        <v>414</v>
      </c>
    </row>
    <row r="24" spans="2:12" ht="15">
      <c r="B24" s="456" t="s">
        <v>356</v>
      </c>
      <c r="C24" s="457" t="s">
        <v>458</v>
      </c>
      <c r="D24" s="458"/>
      <c r="F24" s="456" t="s">
        <v>356</v>
      </c>
      <c r="G24" s="457"/>
      <c r="H24" s="458"/>
    </row>
    <row r="25" spans="2:12" ht="15">
      <c r="B25" s="456" t="s">
        <v>407</v>
      </c>
      <c r="C25" s="457"/>
      <c r="D25" s="458" t="s">
        <v>459</v>
      </c>
      <c r="F25" s="456" t="s">
        <v>472</v>
      </c>
      <c r="G25" s="457" t="s">
        <v>474</v>
      </c>
      <c r="H25" s="458"/>
    </row>
    <row r="26" spans="2:12" ht="15">
      <c r="B26" s="456" t="s">
        <v>361</v>
      </c>
      <c r="C26" s="457" t="s">
        <v>460</v>
      </c>
      <c r="D26" s="458"/>
      <c r="F26" s="456" t="s">
        <v>473</v>
      </c>
      <c r="G26" s="457" t="s">
        <v>476</v>
      </c>
      <c r="H26" s="458"/>
    </row>
    <row r="27" spans="2:12" ht="15">
      <c r="B27" s="456" t="s">
        <v>257</v>
      </c>
      <c r="C27" s="457"/>
      <c r="D27" s="458" t="s">
        <v>459</v>
      </c>
      <c r="F27" s="456" t="s">
        <v>378</v>
      </c>
      <c r="G27" s="457" t="s">
        <v>477</v>
      </c>
      <c r="H27" s="458"/>
    </row>
    <row r="28" spans="2:12" ht="15">
      <c r="B28" s="456" t="s">
        <v>366</v>
      </c>
      <c r="C28" s="457"/>
      <c r="D28" s="458" t="s">
        <v>461</v>
      </c>
      <c r="F28" s="456" t="s">
        <v>426</v>
      </c>
      <c r="G28" s="457" t="s">
        <v>475</v>
      </c>
      <c r="H28" s="458"/>
    </row>
    <row r="29" spans="2:12" ht="15">
      <c r="B29" s="456" t="s">
        <v>380</v>
      </c>
      <c r="C29" s="457"/>
      <c r="D29" s="458" t="s">
        <v>449</v>
      </c>
      <c r="F29" s="456" t="s">
        <v>214</v>
      </c>
      <c r="G29" s="457" t="s">
        <v>440</v>
      </c>
      <c r="H29" s="458"/>
    </row>
    <row r="30" spans="2:12" ht="15">
      <c r="B30" s="456" t="s">
        <v>362</v>
      </c>
      <c r="C30" s="457"/>
      <c r="D30" s="458" t="s">
        <v>449</v>
      </c>
      <c r="F30" s="456" t="s">
        <v>375</v>
      </c>
      <c r="G30" s="457"/>
      <c r="H30" s="458"/>
    </row>
    <row r="31" spans="2:12" ht="15">
      <c r="B31" s="456" t="s">
        <v>381</v>
      </c>
      <c r="C31" s="457" t="s">
        <v>456</v>
      </c>
      <c r="D31" s="458"/>
      <c r="F31" s="456" t="s">
        <v>377</v>
      </c>
      <c r="G31" s="457"/>
      <c r="H31" s="458"/>
    </row>
    <row r="32" spans="2:12" ht="15">
      <c r="B32" s="456" t="s">
        <v>382</v>
      </c>
      <c r="C32" s="457" t="s">
        <v>462</v>
      </c>
      <c r="D32" s="458"/>
      <c r="F32" s="459" t="s">
        <v>379</v>
      </c>
      <c r="G32" s="465"/>
      <c r="H32" s="460"/>
    </row>
    <row r="33" spans="2:8" ht="15">
      <c r="B33" s="456" t="s">
        <v>408</v>
      </c>
      <c r="C33" s="457"/>
      <c r="D33" s="458" t="s">
        <v>463</v>
      </c>
      <c r="F33" s="463"/>
      <c r="G33" s="466"/>
      <c r="H33" s="464"/>
    </row>
    <row r="34" spans="2:8" ht="15">
      <c r="B34" s="456" t="s">
        <v>409</v>
      </c>
      <c r="C34" s="457" t="s">
        <v>464</v>
      </c>
      <c r="D34" s="458"/>
    </row>
    <row r="35" spans="2:8" ht="15">
      <c r="B35" s="456" t="s">
        <v>383</v>
      </c>
      <c r="C35" s="457" t="s">
        <v>465</v>
      </c>
      <c r="D35" s="458"/>
    </row>
    <row r="36" spans="2:8" ht="15">
      <c r="B36" s="456" t="s">
        <v>410</v>
      </c>
      <c r="C36" s="457" t="s">
        <v>465</v>
      </c>
      <c r="D36" s="458"/>
    </row>
    <row r="37" spans="2:8" ht="15">
      <c r="B37" s="456" t="s">
        <v>384</v>
      </c>
      <c r="C37" s="457"/>
      <c r="D37" s="458" t="s">
        <v>466</v>
      </c>
    </row>
    <row r="38" spans="2:8" ht="15">
      <c r="B38" s="456" t="s">
        <v>385</v>
      </c>
      <c r="C38" s="457" t="s">
        <v>467</v>
      </c>
      <c r="D38" s="458"/>
    </row>
    <row r="39" spans="2:8" ht="15">
      <c r="B39" s="456" t="s">
        <v>386</v>
      </c>
      <c r="C39" s="457" t="s">
        <v>468</v>
      </c>
      <c r="D39" s="458"/>
    </row>
    <row r="40" spans="2:8" ht="15">
      <c r="B40" s="456" t="s">
        <v>339</v>
      </c>
      <c r="C40" s="457" t="s">
        <v>469</v>
      </c>
      <c r="D40" s="458"/>
    </row>
    <row r="41" spans="2:8" ht="15">
      <c r="B41" s="456" t="s">
        <v>375</v>
      </c>
      <c r="C41" s="457"/>
      <c r="D41" s="458"/>
    </row>
    <row r="42" spans="2:8" ht="15">
      <c r="B42" s="456" t="s">
        <v>377</v>
      </c>
      <c r="C42" s="457"/>
      <c r="D42" s="458"/>
    </row>
    <row r="43" spans="2:8" ht="15">
      <c r="B43" s="456" t="s">
        <v>379</v>
      </c>
      <c r="C43" s="457"/>
      <c r="D43" s="458"/>
    </row>
  </sheetData>
  <mergeCells count="5">
    <mergeCell ref="B2:D2"/>
    <mergeCell ref="F2:H2"/>
    <mergeCell ref="J2:L2"/>
    <mergeCell ref="B19:D19"/>
    <mergeCell ref="F19:H1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ASSY</vt:lpstr>
      <vt:lpstr>Header</vt:lpstr>
      <vt:lpstr>Detail</vt:lpstr>
      <vt:lpstr>ASSY!Print_Area</vt:lpstr>
    </vt:vector>
  </TitlesOfParts>
  <Company>TOS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administrator</cp:lastModifiedBy>
  <dcterms:created xsi:type="dcterms:W3CDTF">2015-09-25T04:16:55Z</dcterms:created>
  <dcterms:modified xsi:type="dcterms:W3CDTF">2015-11-05T05:10:03Z</dcterms:modified>
</cp:coreProperties>
</file>